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\OneDrive - Auburn University\Spring 2019\Spring-2019\Decision Support System\project\"/>
    </mc:Choice>
  </mc:AlternateContent>
  <xr:revisionPtr revIDLastSave="112" documentId="6_{A85ED88B-FBDB-49FE-A077-C1417F0A3112}" xr6:coauthVersionLast="43" xr6:coauthVersionMax="43" xr10:uidLastSave="{811A8015-0A61-42D3-AA19-5B130DCDE796}"/>
  <bookViews>
    <workbookView xWindow="-110" yWindow="-110" windowWidth="19420" windowHeight="10420" activeTab="1" xr2:uid="{00000000-000D-0000-FFFF-FFFF00000000}"/>
  </bookViews>
  <sheets>
    <sheet name="Main Menu" sheetId="3" r:id="rId1"/>
    <sheet name="Arrival Time" sheetId="1" r:id="rId2"/>
    <sheet name="CollectingArrivalData" sheetId="8" r:id="rId3"/>
    <sheet name="Service Time" sheetId="5" r:id="rId4"/>
    <sheet name="Collecting service time data" sheetId="11" r:id="rId5"/>
    <sheet name="Type of System" sheetId="6" r:id="rId6"/>
    <sheet name="Sensitivity Analysis" sheetId="7" r:id="rId7"/>
    <sheet name="Sheet1" sheetId="12" r:id="rId8"/>
  </sheets>
  <definedNames>
    <definedName name="_xlchart.v1.0" hidden="1">'Arrival Time'!$C$6:$C$726</definedName>
    <definedName name="_xlchart.v1.1" hidden="1">'Service Time'!$B$6:$B$726</definedName>
    <definedName name="Sample" localSheetId="2">CollectingArrivalData!$A$1:$A$721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7" l="1"/>
  <c r="H11" i="7" s="1"/>
  <c r="E15" i="7"/>
  <c r="E11" i="7"/>
  <c r="E7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rivals" type="6" refreshedVersion="6" background="1" saveData="1">
    <textPr prompt="0" codePage="437" sourceFile="C:\Users\szs0165\Desktop\New folder\Arrivals.txt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<sst xmlns="http://schemas.openxmlformats.org/spreadsheetml/2006/main" count="36" uniqueCount="30">
  <si>
    <t>Inter Arrival Time</t>
  </si>
  <si>
    <t>Service Time</t>
  </si>
  <si>
    <t>Capacity</t>
  </si>
  <si>
    <t>Waiting Time</t>
  </si>
  <si>
    <t>Arrival Time</t>
  </si>
  <si>
    <t>Exponential</t>
  </si>
  <si>
    <t>Type</t>
  </si>
  <si>
    <t>General</t>
  </si>
  <si>
    <t>G/M/C</t>
  </si>
  <si>
    <t xml:space="preserve"> Inter Arrival Time</t>
  </si>
  <si>
    <t xml:space="preserve"> .02- .01</t>
  </si>
  <si>
    <t xml:space="preserve"> .02- .02</t>
  </si>
  <si>
    <t xml:space="preserve"> .03- .02</t>
  </si>
  <si>
    <t xml:space="preserve"> .03- .03</t>
  </si>
  <si>
    <t xml:space="preserve"> .04- .03</t>
  </si>
  <si>
    <t xml:space="preserve"> .04- .04</t>
  </si>
  <si>
    <t xml:space="preserve"> .05- .05</t>
  </si>
  <si>
    <t>Intervals</t>
  </si>
  <si>
    <t>Percent</t>
  </si>
  <si>
    <t>Frequency</t>
  </si>
  <si>
    <t>Average</t>
  </si>
  <si>
    <t>Standard dev.</t>
  </si>
  <si>
    <t>Max</t>
  </si>
  <si>
    <t>Min</t>
  </si>
  <si>
    <t>Arrival Rate</t>
  </si>
  <si>
    <t>Service Rate</t>
  </si>
  <si>
    <t>Type of System</t>
  </si>
  <si>
    <t>Utilization of Server</t>
  </si>
  <si>
    <t>Number in the Queue</t>
  </si>
  <si>
    <t>M/M/1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</si>
</sst>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.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Algerian"/>
      <family val="5"/>
    </font>
    <font>
      <sz val="14"/>
      <color rgb="FF000000"/>
      <name val="Algerian"/>
      <family val="5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0" xfId="0" applyFill="1"/>
    <xf numFmtId="0" fontId="0" fillId="0" borderId="12" xfId="0" applyBorder="1"/>
    <xf numFmtId="0" fontId="0" fillId="0" borderId="13" xfId="0" applyBorder="1"/>
    <xf numFmtId="0" fontId="0" fillId="0" borderId="13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0" fillId="0" borderId="16" xfId="0" applyBorder="1"/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/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0" fillId="0" borderId="18" xfId="0" applyBorder="1"/>
    <xf numFmtId="0" fontId="0" fillId="2" borderId="0" xfId="0" applyFill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2" borderId="0" xfId="0" applyFont="1" applyFill="1"/>
    <xf numFmtId="0" fontId="8" fillId="2" borderId="21" xfId="0" applyFont="1" applyFill="1" applyBorder="1" applyAlignment="1">
      <alignment horizontal="center" vertical="center"/>
    </xf>
    <xf numFmtId="164" fontId="0" fillId="0" borderId="0" xfId="0" applyNumberFormat="1"/>
    <xf numFmtId="0" fontId="0" fillId="0" borderId="13" xfId="0" applyFill="1" applyBorder="1"/>
    <xf numFmtId="0" fontId="0" fillId="0" borderId="0" xfId="0" applyFill="1"/>
    <xf numFmtId="0" fontId="4" fillId="0" borderId="7" xfId="0" applyFont="1" applyFill="1" applyBorder="1" applyAlignment="1">
      <alignment horizontal="center"/>
    </xf>
    <xf numFmtId="0" fontId="9" fillId="0" borderId="7" xfId="0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9" fillId="0" borderId="0" xfId="0" applyFont="1" applyFill="1" applyBorder="1"/>
    <xf numFmtId="0" fontId="8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99FF"/>
      <color rgb="FFFFC5FF"/>
      <color rgb="FFF977CB"/>
      <color rgb="FFFBABDE"/>
      <color rgb="FF99FF99"/>
      <color rgb="FF00FFFF"/>
      <color rgb="FFE7C277"/>
      <color rgb="FF0066FF"/>
      <color rgb="FFD19D5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 Arrival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Percent</c:v>
                </c:pt>
              </c:strCache>
            </c:strRef>
          </c:tx>
          <c:invertIfNegative val="0"/>
          <c:cat>
            <c:strRef>
              <c:f>Sheet1!$A$2:$A$11</c:f>
              <c:strCache>
                <c:ptCount val="10"/>
                <c:pt idx="0">
                  <c:v> .02- .01</c:v>
                </c:pt>
                <c:pt idx="1">
                  <c:v> .02- .01</c:v>
                </c:pt>
                <c:pt idx="2">
                  <c:v> .02- .02</c:v>
                </c:pt>
                <c:pt idx="3">
                  <c:v> .03- .02</c:v>
                </c:pt>
                <c:pt idx="4">
                  <c:v> .03- .02</c:v>
                </c:pt>
                <c:pt idx="5">
                  <c:v> .03- .03</c:v>
                </c:pt>
                <c:pt idx="6">
                  <c:v> .04- .03</c:v>
                </c:pt>
                <c:pt idx="7">
                  <c:v> .04- .03</c:v>
                </c:pt>
                <c:pt idx="8">
                  <c:v> .04- .04</c:v>
                </c:pt>
                <c:pt idx="9">
                  <c:v> .05- .05</c:v>
                </c:pt>
              </c:strCache>
            </c:strRef>
          </c:cat>
          <c:val>
            <c:numRef>
              <c:f>Sheet1!$B$2:$B$11</c:f>
              <c:numCache>
                <c:formatCode>General</c:formatCode>
                <c:ptCount val="10"/>
                <c:pt idx="0">
                  <c:v>2.36</c:v>
                </c:pt>
                <c:pt idx="1">
                  <c:v>7.5</c:v>
                </c:pt>
                <c:pt idx="2">
                  <c:v>12.22</c:v>
                </c:pt>
                <c:pt idx="3">
                  <c:v>11.94</c:v>
                </c:pt>
                <c:pt idx="4">
                  <c:v>17.36</c:v>
                </c:pt>
                <c:pt idx="5">
                  <c:v>16.670000000000002</c:v>
                </c:pt>
                <c:pt idx="6">
                  <c:v>13.47</c:v>
                </c:pt>
                <c:pt idx="7">
                  <c:v>9.58</c:v>
                </c:pt>
                <c:pt idx="8">
                  <c:v>6.11</c:v>
                </c:pt>
                <c:pt idx="9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7-4BF8-AB69-C9FDA1A99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33979456"/>
        <c:axId val="628084800"/>
      </c:barChart>
      <c:catAx>
        <c:axId val="63397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8084800"/>
        <c:crosses val="autoZero"/>
        <c:auto val="1"/>
        <c:lblAlgn val="ctr"/>
        <c:lblOffset val="100"/>
        <c:noMultiLvlLbl val="0"/>
      </c:catAx>
      <c:valAx>
        <c:axId val="62808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39794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 Arrival Time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Inter Arrival Time</a:t>
          </a:r>
        </a:p>
      </cx:txPr>
    </cx:title>
    <cx:plotArea>
      <cx:plotAreaRegion>
        <cx:series layoutId="clusteredColumn" uniqueId="{4E619F0E-3CC3-43F7-9022-2A5809B8470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Service Time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Service Time</a:t>
          </a:r>
        </a:p>
      </cx:txPr>
    </cx:title>
    <cx:plotArea>
      <cx:plotAreaRegion>
        <cx:series layoutId="clusteredColumn" uniqueId="{8CF74D31-1D2C-462D-A342-5F870AF3331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Scroll" dx="31" fmlaLink="$O$11" horiz="1" max="100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565149</xdr:colOff>
      <xdr:row>1</xdr:row>
      <xdr:rowOff>180975</xdr:rowOff>
    </xdr:from>
    <xdr:to>
      <xdr:col>4</xdr:col>
      <xdr:colOff>123824</xdr:colOff>
      <xdr:row>9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149" y="371475"/>
          <a:ext cx="1997075" cy="1352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565150</xdr:colOff>
          <xdr:row>9</xdr:row>
          <xdr:rowOff>12700</xdr:rowOff>
        </xdr:from>
        <xdr:to>
          <xdr:col>4</xdr:col>
          <xdr:colOff>120650</xdr:colOff>
          <xdr:row>12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lgerian"/>
                </a:rPr>
                <a:t>Arrival Time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19050</xdr:rowOff>
        </xdr:from>
        <xdr:to>
          <xdr:col>9</xdr:col>
          <xdr:colOff>228600</xdr:colOff>
          <xdr:row>12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lgerian"/>
                </a:rPr>
                <a:t>Service  Time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6351</xdr:colOff>
      <xdr:row>1</xdr:row>
      <xdr:rowOff>171449</xdr:rowOff>
    </xdr:from>
    <xdr:to>
      <xdr:col>9</xdr:col>
      <xdr:colOff>219075</xdr:colOff>
      <xdr:row>9</xdr:row>
      <xdr:rowOff>19048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3951" y="361949"/>
          <a:ext cx="2041524" cy="1371599"/>
        </a:xfrm>
        <a:prstGeom prst="rect">
          <a:avLst/>
        </a:prstGeom>
      </xdr:spPr>
    </xdr:pic>
    <xdr:clientData/>
  </xdr:twoCellAnchor>
  <xdr:twoCellAnchor editAs="oneCell">
    <xdr:from>
      <xdr:col>0</xdr:col>
      <xdr:colOff>565150</xdr:colOff>
      <xdr:row>14</xdr:row>
      <xdr:rowOff>47625</xdr:rowOff>
    </xdr:from>
    <xdr:to>
      <xdr:col>4</xdr:col>
      <xdr:colOff>139700</xdr:colOff>
      <xdr:row>21</xdr:row>
      <xdr:rowOff>133445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150" y="2524125"/>
          <a:ext cx="2012950" cy="14193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565150</xdr:colOff>
          <xdr:row>21</xdr:row>
          <xdr:rowOff>133350</xdr:rowOff>
        </xdr:from>
        <xdr:to>
          <xdr:col>4</xdr:col>
          <xdr:colOff>139700</xdr:colOff>
          <xdr:row>24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lgerian"/>
                </a:rPr>
                <a:t>Type of System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127000</xdr:rowOff>
        </xdr:from>
        <xdr:to>
          <xdr:col>9</xdr:col>
          <xdr:colOff>209550</xdr:colOff>
          <xdr:row>24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lgerian"/>
                </a:rPr>
                <a:t>Sensitivity Analysis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9524</xdr:colOff>
      <xdr:row>14</xdr:row>
      <xdr:rowOff>47625</xdr:rowOff>
    </xdr:from>
    <xdr:to>
      <xdr:col>9</xdr:col>
      <xdr:colOff>200025</xdr:colOff>
      <xdr:row>21</xdr:row>
      <xdr:rowOff>130814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67124" y="2524125"/>
          <a:ext cx="2019301" cy="1416689"/>
        </a:xfrm>
        <a:prstGeom prst="rect">
          <a:avLst/>
        </a:prstGeom>
      </xdr:spPr>
    </xdr:pic>
    <xdr:clientData/>
  </xdr:twoCellAnchor>
  <xdr:twoCellAnchor>
    <xdr:from>
      <xdr:col>2</xdr:col>
      <xdr:colOff>209550</xdr:colOff>
      <xdr:row>1</xdr:row>
      <xdr:rowOff>180975</xdr:rowOff>
    </xdr:from>
    <xdr:to>
      <xdr:col>3</xdr:col>
      <xdr:colOff>95250</xdr:colOff>
      <xdr:row>2</xdr:row>
      <xdr:rowOff>180976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428750" y="371475"/>
          <a:ext cx="495300" cy="1905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/>
            <a:t>arrival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615950</xdr:colOff>
          <xdr:row>0</xdr:row>
          <xdr:rowOff>0</xdr:rowOff>
        </xdr:from>
        <xdr:to>
          <xdr:col>11</xdr:col>
          <xdr:colOff>209550</xdr:colOff>
          <xdr:row>3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Arrival Rate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165100</xdr:rowOff>
        </xdr:from>
        <xdr:to>
          <xdr:col>2</xdr:col>
          <xdr:colOff>914400</xdr:colOff>
          <xdr:row>3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 Arrival Time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231775</xdr:colOff>
      <xdr:row>4</xdr:row>
      <xdr:rowOff>174625</xdr:rowOff>
    </xdr:from>
    <xdr:to>
      <xdr:col>8</xdr:col>
      <xdr:colOff>374650</xdr:colOff>
      <xdr:row>18</xdr:row>
      <xdr:rowOff>184150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67025" y="911225"/>
              <a:ext cx="3349625" cy="2854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444500</xdr:colOff>
          <xdr:row>1</xdr:row>
          <xdr:rowOff>19050</xdr:rowOff>
        </xdr:from>
        <xdr:to>
          <xdr:col>14</xdr:col>
          <xdr:colOff>76200</xdr:colOff>
          <xdr:row>3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0</xdr:row>
          <xdr:rowOff>95250</xdr:rowOff>
        </xdr:from>
        <xdr:to>
          <xdr:col>8</xdr:col>
          <xdr:colOff>387350</xdr:colOff>
          <xdr:row>3</xdr:row>
          <xdr:rowOff>127000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Number of Arrivals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0</xdr:row>
          <xdr:rowOff>57150</xdr:rowOff>
        </xdr:from>
        <xdr:to>
          <xdr:col>5</xdr:col>
          <xdr:colOff>565150</xdr:colOff>
          <xdr:row>3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</xdr:row>
          <xdr:rowOff>114300</xdr:rowOff>
        </xdr:from>
        <xdr:to>
          <xdr:col>12</xdr:col>
          <xdr:colOff>450850</xdr:colOff>
          <xdr:row>6</xdr:row>
          <xdr:rowOff>165100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Arrival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9</xdr:row>
          <xdr:rowOff>88900</xdr:rowOff>
        </xdr:from>
        <xdr:to>
          <xdr:col>12</xdr:col>
          <xdr:colOff>469900</xdr:colOff>
          <xdr:row>12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</xdr:row>
          <xdr:rowOff>88900</xdr:rowOff>
        </xdr:from>
        <xdr:to>
          <xdr:col>4</xdr:col>
          <xdr:colOff>114300</xdr:colOff>
          <xdr:row>4</xdr:row>
          <xdr:rowOff>44450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Service Rate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488950</xdr:colOff>
          <xdr:row>1</xdr:row>
          <xdr:rowOff>76200</xdr:rowOff>
        </xdr:from>
        <xdr:to>
          <xdr:col>10</xdr:col>
          <xdr:colOff>88900</xdr:colOff>
          <xdr:row>4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147637</xdr:colOff>
      <xdr:row>7</xdr:row>
      <xdr:rowOff>76200</xdr:rowOff>
    </xdr:from>
    <xdr:to>
      <xdr:col>15</xdr:col>
      <xdr:colOff>600075</xdr:colOff>
      <xdr:row>23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5087" y="1428750"/>
              <a:ext cx="5583238" cy="2921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8</xdr:row>
          <xdr:rowOff>50800</xdr:rowOff>
        </xdr:from>
        <xdr:to>
          <xdr:col>4</xdr:col>
          <xdr:colOff>50800</xdr:colOff>
          <xdr:row>10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2</xdr:row>
          <xdr:rowOff>50800</xdr:rowOff>
        </xdr:from>
        <xdr:to>
          <xdr:col>13</xdr:col>
          <xdr:colOff>419100</xdr:colOff>
          <xdr:row>5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Service time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7</xdr:row>
          <xdr:rowOff>88900</xdr:rowOff>
        </xdr:from>
        <xdr:to>
          <xdr:col>13</xdr:col>
          <xdr:colOff>469900</xdr:colOff>
          <xdr:row>10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641350</xdr:colOff>
          <xdr:row>5</xdr:row>
          <xdr:rowOff>95250</xdr:rowOff>
        </xdr:from>
        <xdr:to>
          <xdr:col>8</xdr:col>
          <xdr:colOff>260350</xdr:colOff>
          <xdr:row>7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System Properties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5</xdr:row>
          <xdr:rowOff>6350</xdr:rowOff>
        </xdr:from>
        <xdr:to>
          <xdr:col>15</xdr:col>
          <xdr:colOff>622300</xdr:colOff>
          <xdr:row>7</xdr:row>
          <xdr:rowOff>120650</xdr:rowOff>
        </xdr:to>
        <xdr:sp macro="" textlink="">
          <xdr:nvSpPr>
            <xdr:cNvPr id="7169" name="Scroll Ba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587375</xdr:colOff>
      <xdr:row>3</xdr:row>
      <xdr:rowOff>50800</xdr:rowOff>
    </xdr:from>
    <xdr:to>
      <xdr:col>13</xdr:col>
      <xdr:colOff>282575</xdr:colOff>
      <xdr:row>18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" xr16:uid="{00000000-0016-0000-02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"/>
  <sheetViews>
    <sheetView showGridLines="0" showRowColHeaders="0" topLeftCell="A10" workbookViewId="0">
      <selection activeCell="F14" sqref="F14"/>
    </sheetView>
  </sheetViews>
  <sheetFormatPr defaultColWidth="9.1796875" defaultRowHeight="14.5" x14ac:dyDescent="0.35"/>
  <cols>
    <col min="1" max="16384" width="9.1796875" style="1"/>
  </cols>
  <sheetData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0</xdr:col>
                    <xdr:colOff>565150</xdr:colOff>
                    <xdr:row>9</xdr:row>
                    <xdr:rowOff>12700</xdr:rowOff>
                  </from>
                  <to>
                    <xdr:col>4</xdr:col>
                    <xdr:colOff>120650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9</xdr:row>
                    <xdr:rowOff>19050</xdr:rowOff>
                  </from>
                  <to>
                    <xdr:col>9</xdr:col>
                    <xdr:colOff>228600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>
                <anchor moveWithCells="1" sizeWithCells="1">
                  <from>
                    <xdr:col>0</xdr:col>
                    <xdr:colOff>565150</xdr:colOff>
                    <xdr:row>21</xdr:row>
                    <xdr:rowOff>133350</xdr:rowOff>
                  </from>
                  <to>
                    <xdr:col>4</xdr:col>
                    <xdr:colOff>139700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21</xdr:row>
                    <xdr:rowOff>127000</xdr:rowOff>
                  </from>
                  <to>
                    <xdr:col>9</xdr:col>
                    <xdr:colOff>209550</xdr:colOff>
                    <xdr:row>24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I726"/>
  <sheetViews>
    <sheetView tabSelected="1" workbookViewId="0">
      <selection activeCell="F12" sqref="F12"/>
    </sheetView>
  </sheetViews>
  <sheetFormatPr defaultColWidth="9.1796875" defaultRowHeight="14.5" x14ac:dyDescent="0.35"/>
  <cols>
    <col min="1" max="1" width="9.1796875" style="1"/>
    <col min="2" max="2" width="10.81640625" style="22" customWidth="1"/>
    <col min="3" max="3" width="16" style="22" customWidth="1"/>
    <col min="4" max="16384" width="9.1796875" style="1"/>
  </cols>
  <sheetData>
    <row r="5" spans="2:9" ht="15" thickBot="1" x14ac:dyDescent="0.4">
      <c r="B5" s="23" t="s">
        <v>4</v>
      </c>
      <c r="C5" s="23" t="s">
        <v>9</v>
      </c>
    </row>
    <row r="6" spans="2:9" ht="19" thickBot="1" x14ac:dyDescent="0.5">
      <c r="B6" s="24"/>
      <c r="C6" s="25"/>
      <c r="H6" s="47"/>
      <c r="I6" s="47"/>
    </row>
    <row r="7" spans="2:9" ht="15.5" thickTop="1" thickBot="1" x14ac:dyDescent="0.4">
      <c r="B7" s="26"/>
      <c r="C7" s="27"/>
    </row>
    <row r="8" spans="2:9" ht="15.5" thickTop="1" thickBot="1" x14ac:dyDescent="0.4">
      <c r="B8" s="26"/>
      <c r="C8" s="27"/>
    </row>
    <row r="9" spans="2:9" ht="15.5" thickTop="1" thickBot="1" x14ac:dyDescent="0.4">
      <c r="B9" s="26"/>
      <c r="C9" s="27"/>
    </row>
    <row r="10" spans="2:9" ht="19.5" thickTop="1" thickBot="1" x14ac:dyDescent="0.5">
      <c r="B10" s="26"/>
      <c r="C10" s="27"/>
      <c r="H10" s="47"/>
      <c r="I10" s="47"/>
    </row>
    <row r="11" spans="2:9" ht="15.5" thickTop="1" thickBot="1" x14ac:dyDescent="0.4">
      <c r="B11" s="26"/>
      <c r="C11" s="27"/>
    </row>
    <row r="12" spans="2:9" ht="15.5" thickTop="1" thickBot="1" x14ac:dyDescent="0.4">
      <c r="B12" s="26"/>
      <c r="C12" s="27"/>
    </row>
    <row r="13" spans="2:9" ht="15.5" thickTop="1" thickBot="1" x14ac:dyDescent="0.4">
      <c r="B13" s="26"/>
      <c r="C13" s="27"/>
    </row>
    <row r="14" spans="2:9" ht="15.5" thickTop="1" thickBot="1" x14ac:dyDescent="0.4">
      <c r="B14" s="26"/>
      <c r="C14" s="27"/>
    </row>
    <row r="15" spans="2:9" ht="15.5" thickTop="1" thickBot="1" x14ac:dyDescent="0.4">
      <c r="B15" s="26"/>
      <c r="C15" s="27"/>
    </row>
    <row r="16" spans="2:9" ht="15.5" thickTop="1" thickBot="1" x14ac:dyDescent="0.4">
      <c r="B16" s="26"/>
      <c r="C16" s="27"/>
    </row>
    <row r="17" spans="2:3" ht="15.5" thickTop="1" thickBot="1" x14ac:dyDescent="0.4">
      <c r="B17" s="26"/>
      <c r="C17" s="27"/>
    </row>
    <row r="18" spans="2:3" ht="15.5" thickTop="1" thickBot="1" x14ac:dyDescent="0.4">
      <c r="B18" s="26"/>
      <c r="C18" s="27"/>
    </row>
    <row r="19" spans="2:3" ht="15.5" thickTop="1" thickBot="1" x14ac:dyDescent="0.4">
      <c r="B19" s="26"/>
      <c r="C19" s="27"/>
    </row>
    <row r="20" spans="2:3" ht="15.5" thickTop="1" thickBot="1" x14ac:dyDescent="0.4">
      <c r="B20" s="26"/>
      <c r="C20" s="27"/>
    </row>
    <row r="21" spans="2:3" ht="15.5" thickTop="1" thickBot="1" x14ac:dyDescent="0.4">
      <c r="B21" s="26"/>
      <c r="C21" s="27"/>
    </row>
    <row r="22" spans="2:3" ht="15.5" thickTop="1" thickBot="1" x14ac:dyDescent="0.4">
      <c r="B22" s="26"/>
      <c r="C22" s="27"/>
    </row>
    <row r="23" spans="2:3" ht="15.5" thickTop="1" thickBot="1" x14ac:dyDescent="0.4">
      <c r="B23" s="26"/>
      <c r="C23" s="27"/>
    </row>
    <row r="24" spans="2:3" ht="15.5" thickTop="1" thickBot="1" x14ac:dyDescent="0.4">
      <c r="B24" s="26"/>
      <c r="C24" s="27"/>
    </row>
    <row r="25" spans="2:3" ht="15.5" thickTop="1" thickBot="1" x14ac:dyDescent="0.4">
      <c r="B25" s="26"/>
      <c r="C25" s="27"/>
    </row>
    <row r="26" spans="2:3" ht="15.5" thickTop="1" thickBot="1" x14ac:dyDescent="0.4">
      <c r="B26" s="26"/>
      <c r="C26" s="27"/>
    </row>
    <row r="27" spans="2:3" ht="15.5" thickTop="1" thickBot="1" x14ac:dyDescent="0.4">
      <c r="B27" s="26"/>
      <c r="C27" s="27"/>
    </row>
    <row r="28" spans="2:3" ht="15.5" thickTop="1" thickBot="1" x14ac:dyDescent="0.4">
      <c r="B28" s="26"/>
      <c r="C28" s="27"/>
    </row>
    <row r="29" spans="2:3" ht="15.5" thickTop="1" thickBot="1" x14ac:dyDescent="0.4">
      <c r="B29" s="26"/>
      <c r="C29" s="27"/>
    </row>
    <row r="30" spans="2:3" ht="15.5" thickTop="1" thickBot="1" x14ac:dyDescent="0.4">
      <c r="B30" s="26"/>
      <c r="C30" s="27"/>
    </row>
    <row r="31" spans="2:3" ht="15.5" thickTop="1" thickBot="1" x14ac:dyDescent="0.4">
      <c r="B31" s="26"/>
      <c r="C31" s="27"/>
    </row>
    <row r="32" spans="2:3" ht="15.5" thickTop="1" thickBot="1" x14ac:dyDescent="0.4">
      <c r="B32" s="26"/>
      <c r="C32" s="27"/>
    </row>
    <row r="33" spans="2:3" ht="15.5" thickTop="1" thickBot="1" x14ac:dyDescent="0.4">
      <c r="B33" s="26"/>
      <c r="C33" s="27"/>
    </row>
    <row r="34" spans="2:3" ht="15.5" thickTop="1" thickBot="1" x14ac:dyDescent="0.4">
      <c r="B34" s="26"/>
      <c r="C34" s="27"/>
    </row>
    <row r="35" spans="2:3" ht="15.5" thickTop="1" thickBot="1" x14ac:dyDescent="0.4">
      <c r="B35" s="26"/>
      <c r="C35" s="27"/>
    </row>
    <row r="36" spans="2:3" ht="15.5" thickTop="1" thickBot="1" x14ac:dyDescent="0.4">
      <c r="B36" s="26"/>
      <c r="C36" s="27"/>
    </row>
    <row r="37" spans="2:3" ht="15.5" thickTop="1" thickBot="1" x14ac:dyDescent="0.4">
      <c r="B37" s="26"/>
      <c r="C37" s="27"/>
    </row>
    <row r="38" spans="2:3" ht="15.5" thickTop="1" thickBot="1" x14ac:dyDescent="0.4">
      <c r="B38" s="26"/>
      <c r="C38" s="27"/>
    </row>
    <row r="39" spans="2:3" ht="15.5" thickTop="1" thickBot="1" x14ac:dyDescent="0.4">
      <c r="B39" s="26"/>
      <c r="C39" s="27"/>
    </row>
    <row r="40" spans="2:3" ht="15.5" thickTop="1" thickBot="1" x14ac:dyDescent="0.4">
      <c r="B40" s="26"/>
      <c r="C40" s="27"/>
    </row>
    <row r="41" spans="2:3" ht="15.5" thickTop="1" thickBot="1" x14ac:dyDescent="0.4">
      <c r="B41" s="26"/>
      <c r="C41" s="27"/>
    </row>
    <row r="42" spans="2:3" ht="15.5" thickTop="1" thickBot="1" x14ac:dyDescent="0.4">
      <c r="B42" s="26"/>
      <c r="C42" s="27"/>
    </row>
    <row r="43" spans="2:3" ht="15.5" thickTop="1" thickBot="1" x14ac:dyDescent="0.4">
      <c r="B43" s="26"/>
      <c r="C43" s="27"/>
    </row>
    <row r="44" spans="2:3" ht="15.5" thickTop="1" thickBot="1" x14ac:dyDescent="0.4">
      <c r="B44" s="26"/>
      <c r="C44" s="27"/>
    </row>
    <row r="45" spans="2:3" ht="15.5" thickTop="1" thickBot="1" x14ac:dyDescent="0.4">
      <c r="B45" s="26"/>
      <c r="C45" s="27"/>
    </row>
    <row r="46" spans="2:3" ht="15.5" thickTop="1" thickBot="1" x14ac:dyDescent="0.4">
      <c r="B46" s="26"/>
      <c r="C46" s="27"/>
    </row>
    <row r="47" spans="2:3" ht="15.5" thickTop="1" thickBot="1" x14ac:dyDescent="0.4">
      <c r="B47" s="26"/>
      <c r="C47" s="27"/>
    </row>
    <row r="48" spans="2:3" ht="15.5" thickTop="1" thickBot="1" x14ac:dyDescent="0.4">
      <c r="B48" s="26"/>
      <c r="C48" s="27"/>
    </row>
    <row r="49" spans="2:3" ht="15.5" thickTop="1" thickBot="1" x14ac:dyDescent="0.4">
      <c r="B49" s="26"/>
      <c r="C49" s="27"/>
    </row>
    <row r="50" spans="2:3" ht="15.5" thickTop="1" thickBot="1" x14ac:dyDescent="0.4">
      <c r="B50" s="26"/>
      <c r="C50" s="27"/>
    </row>
    <row r="51" spans="2:3" ht="15.5" thickTop="1" thickBot="1" x14ac:dyDescent="0.4">
      <c r="B51" s="26"/>
      <c r="C51" s="27"/>
    </row>
    <row r="52" spans="2:3" ht="15.5" thickTop="1" thickBot="1" x14ac:dyDescent="0.4">
      <c r="B52" s="26"/>
      <c r="C52" s="27"/>
    </row>
    <row r="53" spans="2:3" ht="15.5" thickTop="1" thickBot="1" x14ac:dyDescent="0.4">
      <c r="B53" s="26"/>
      <c r="C53" s="27"/>
    </row>
    <row r="54" spans="2:3" ht="15.5" thickTop="1" thickBot="1" x14ac:dyDescent="0.4">
      <c r="B54" s="26"/>
      <c r="C54" s="27"/>
    </row>
    <row r="55" spans="2:3" ht="15.5" thickTop="1" thickBot="1" x14ac:dyDescent="0.4">
      <c r="B55" s="26"/>
      <c r="C55" s="27"/>
    </row>
    <row r="56" spans="2:3" ht="15.5" thickTop="1" thickBot="1" x14ac:dyDescent="0.4">
      <c r="B56" s="26"/>
      <c r="C56" s="27"/>
    </row>
    <row r="57" spans="2:3" ht="15.5" thickTop="1" thickBot="1" x14ac:dyDescent="0.4">
      <c r="B57" s="26"/>
      <c r="C57" s="27"/>
    </row>
    <row r="58" spans="2:3" ht="15.5" thickTop="1" thickBot="1" x14ac:dyDescent="0.4">
      <c r="B58" s="26"/>
      <c r="C58" s="27"/>
    </row>
    <row r="59" spans="2:3" ht="15.5" thickTop="1" thickBot="1" x14ac:dyDescent="0.4">
      <c r="B59" s="26"/>
      <c r="C59" s="27"/>
    </row>
    <row r="60" spans="2:3" ht="15.5" thickTop="1" thickBot="1" x14ac:dyDescent="0.4">
      <c r="B60" s="26"/>
      <c r="C60" s="27"/>
    </row>
    <row r="61" spans="2:3" ht="15.5" thickTop="1" thickBot="1" x14ac:dyDescent="0.4">
      <c r="B61" s="26"/>
      <c r="C61" s="27"/>
    </row>
    <row r="62" spans="2:3" ht="15.5" thickTop="1" thickBot="1" x14ac:dyDescent="0.4">
      <c r="B62" s="26"/>
      <c r="C62" s="27"/>
    </row>
    <row r="63" spans="2:3" ht="15.5" thickTop="1" thickBot="1" x14ac:dyDescent="0.4">
      <c r="B63" s="26"/>
      <c r="C63" s="27"/>
    </row>
    <row r="64" spans="2:3" ht="15.5" thickTop="1" thickBot="1" x14ac:dyDescent="0.4">
      <c r="B64" s="26"/>
      <c r="C64" s="27"/>
    </row>
    <row r="65" spans="2:3" ht="15.5" thickTop="1" thickBot="1" x14ac:dyDescent="0.4">
      <c r="B65" s="26"/>
      <c r="C65" s="27"/>
    </row>
    <row r="66" spans="2:3" ht="15.5" thickTop="1" thickBot="1" x14ac:dyDescent="0.4">
      <c r="B66" s="26"/>
      <c r="C66" s="27"/>
    </row>
    <row r="67" spans="2:3" ht="15.5" thickTop="1" thickBot="1" x14ac:dyDescent="0.4">
      <c r="B67" s="26"/>
      <c r="C67" s="27"/>
    </row>
    <row r="68" spans="2:3" ht="15.5" thickTop="1" thickBot="1" x14ac:dyDescent="0.4">
      <c r="B68" s="26"/>
      <c r="C68" s="27"/>
    </row>
    <row r="69" spans="2:3" ht="15.5" thickTop="1" thickBot="1" x14ac:dyDescent="0.4">
      <c r="B69" s="26"/>
      <c r="C69" s="27"/>
    </row>
    <row r="70" spans="2:3" ht="15.5" thickTop="1" thickBot="1" x14ac:dyDescent="0.4">
      <c r="B70" s="26"/>
      <c r="C70" s="27"/>
    </row>
    <row r="71" spans="2:3" ht="15.5" thickTop="1" thickBot="1" x14ac:dyDescent="0.4">
      <c r="B71" s="26"/>
      <c r="C71" s="27"/>
    </row>
    <row r="72" spans="2:3" ht="15.5" thickTop="1" thickBot="1" x14ac:dyDescent="0.4">
      <c r="B72" s="26"/>
      <c r="C72" s="27"/>
    </row>
    <row r="73" spans="2:3" ht="15.5" thickTop="1" thickBot="1" x14ac:dyDescent="0.4">
      <c r="B73" s="26"/>
      <c r="C73" s="27"/>
    </row>
    <row r="74" spans="2:3" ht="15.5" thickTop="1" thickBot="1" x14ac:dyDescent="0.4">
      <c r="B74" s="26"/>
      <c r="C74" s="27"/>
    </row>
    <row r="75" spans="2:3" ht="15.5" thickTop="1" thickBot="1" x14ac:dyDescent="0.4">
      <c r="B75" s="26"/>
      <c r="C75" s="27"/>
    </row>
    <row r="76" spans="2:3" ht="15.5" thickTop="1" thickBot="1" x14ac:dyDescent="0.4">
      <c r="B76" s="26"/>
      <c r="C76" s="27"/>
    </row>
    <row r="77" spans="2:3" ht="15.5" thickTop="1" thickBot="1" x14ac:dyDescent="0.4">
      <c r="B77" s="26"/>
      <c r="C77" s="27"/>
    </row>
    <row r="78" spans="2:3" ht="15.5" thickTop="1" thickBot="1" x14ac:dyDescent="0.4">
      <c r="B78" s="26"/>
      <c r="C78" s="27"/>
    </row>
    <row r="79" spans="2:3" ht="15.5" thickTop="1" thickBot="1" x14ac:dyDescent="0.4">
      <c r="B79" s="26"/>
      <c r="C79" s="27"/>
    </row>
    <row r="80" spans="2:3" ht="15.5" thickTop="1" thickBot="1" x14ac:dyDescent="0.4">
      <c r="B80" s="26"/>
      <c r="C80" s="27"/>
    </row>
    <row r="81" spans="2:3" ht="15.5" thickTop="1" thickBot="1" x14ac:dyDescent="0.4">
      <c r="B81" s="26"/>
      <c r="C81" s="27"/>
    </row>
    <row r="82" spans="2:3" ht="15.5" thickTop="1" thickBot="1" x14ac:dyDescent="0.4">
      <c r="B82" s="26"/>
      <c r="C82" s="27"/>
    </row>
    <row r="83" spans="2:3" ht="15.5" thickTop="1" thickBot="1" x14ac:dyDescent="0.4">
      <c r="B83" s="26"/>
      <c r="C83" s="27"/>
    </row>
    <row r="84" spans="2:3" ht="15.5" thickTop="1" thickBot="1" x14ac:dyDescent="0.4">
      <c r="B84" s="26"/>
      <c r="C84" s="27"/>
    </row>
    <row r="85" spans="2:3" ht="15.5" thickTop="1" thickBot="1" x14ac:dyDescent="0.4">
      <c r="B85" s="26"/>
      <c r="C85" s="27"/>
    </row>
    <row r="86" spans="2:3" ht="15.5" thickTop="1" thickBot="1" x14ac:dyDescent="0.4">
      <c r="B86" s="26"/>
      <c r="C86" s="27"/>
    </row>
    <row r="87" spans="2:3" ht="15.5" thickTop="1" thickBot="1" x14ac:dyDescent="0.4">
      <c r="B87" s="26"/>
      <c r="C87" s="27"/>
    </row>
    <row r="88" spans="2:3" ht="15.5" thickTop="1" thickBot="1" x14ac:dyDescent="0.4">
      <c r="B88" s="26"/>
      <c r="C88" s="27"/>
    </row>
    <row r="89" spans="2:3" ht="15.5" thickTop="1" thickBot="1" x14ac:dyDescent="0.4">
      <c r="B89" s="26"/>
      <c r="C89" s="27"/>
    </row>
    <row r="90" spans="2:3" ht="15.5" thickTop="1" thickBot="1" x14ac:dyDescent="0.4">
      <c r="B90" s="26"/>
      <c r="C90" s="27"/>
    </row>
    <row r="91" spans="2:3" ht="15.5" thickTop="1" thickBot="1" x14ac:dyDescent="0.4">
      <c r="B91" s="26"/>
      <c r="C91" s="27"/>
    </row>
    <row r="92" spans="2:3" ht="15.5" thickTop="1" thickBot="1" x14ac:dyDescent="0.4">
      <c r="B92" s="26"/>
      <c r="C92" s="27"/>
    </row>
    <row r="93" spans="2:3" ht="15.5" thickTop="1" thickBot="1" x14ac:dyDescent="0.4">
      <c r="B93" s="26"/>
      <c r="C93" s="27"/>
    </row>
    <row r="94" spans="2:3" ht="15.5" thickTop="1" thickBot="1" x14ac:dyDescent="0.4">
      <c r="B94" s="26"/>
      <c r="C94" s="27"/>
    </row>
    <row r="95" spans="2:3" ht="15.5" thickTop="1" thickBot="1" x14ac:dyDescent="0.4">
      <c r="B95" s="26"/>
      <c r="C95" s="27"/>
    </row>
    <row r="96" spans="2:3" ht="15.5" thickTop="1" thickBot="1" x14ac:dyDescent="0.4">
      <c r="B96" s="26"/>
      <c r="C96" s="27"/>
    </row>
    <row r="97" spans="2:3" ht="15.5" thickTop="1" thickBot="1" x14ac:dyDescent="0.4">
      <c r="B97" s="26"/>
      <c r="C97" s="27"/>
    </row>
    <row r="98" spans="2:3" ht="15.5" thickTop="1" thickBot="1" x14ac:dyDescent="0.4">
      <c r="B98" s="26"/>
      <c r="C98" s="27"/>
    </row>
    <row r="99" spans="2:3" ht="15.5" thickTop="1" thickBot="1" x14ac:dyDescent="0.4">
      <c r="B99" s="26"/>
      <c r="C99" s="27"/>
    </row>
    <row r="100" spans="2:3" ht="15.5" thickTop="1" thickBot="1" x14ac:dyDescent="0.4">
      <c r="B100" s="26"/>
      <c r="C100" s="27"/>
    </row>
    <row r="101" spans="2:3" ht="15.5" thickTop="1" thickBot="1" x14ac:dyDescent="0.4">
      <c r="B101" s="26"/>
      <c r="C101" s="27"/>
    </row>
    <row r="102" spans="2:3" ht="15.5" thickTop="1" thickBot="1" x14ac:dyDescent="0.4">
      <c r="B102" s="26"/>
      <c r="C102" s="27"/>
    </row>
    <row r="103" spans="2:3" ht="15.5" thickTop="1" thickBot="1" x14ac:dyDescent="0.4">
      <c r="B103" s="26"/>
      <c r="C103" s="27"/>
    </row>
    <row r="104" spans="2:3" ht="15.5" thickTop="1" thickBot="1" x14ac:dyDescent="0.4">
      <c r="B104" s="26"/>
      <c r="C104" s="27"/>
    </row>
    <row r="105" spans="2:3" ht="15.5" thickTop="1" thickBot="1" x14ac:dyDescent="0.4">
      <c r="B105" s="26"/>
      <c r="C105" s="27"/>
    </row>
    <row r="106" spans="2:3" ht="15.5" thickTop="1" thickBot="1" x14ac:dyDescent="0.4">
      <c r="B106" s="26"/>
      <c r="C106" s="27"/>
    </row>
    <row r="107" spans="2:3" ht="15.5" thickTop="1" thickBot="1" x14ac:dyDescent="0.4">
      <c r="B107" s="26"/>
      <c r="C107" s="27"/>
    </row>
    <row r="108" spans="2:3" ht="15.5" thickTop="1" thickBot="1" x14ac:dyDescent="0.4">
      <c r="B108" s="26"/>
      <c r="C108" s="27"/>
    </row>
    <row r="109" spans="2:3" ht="15.5" thickTop="1" thickBot="1" x14ac:dyDescent="0.4">
      <c r="B109" s="26"/>
      <c r="C109" s="27"/>
    </row>
    <row r="110" spans="2:3" ht="15.5" thickTop="1" thickBot="1" x14ac:dyDescent="0.4">
      <c r="B110" s="26"/>
      <c r="C110" s="27"/>
    </row>
    <row r="111" spans="2:3" ht="15.5" thickTop="1" thickBot="1" x14ac:dyDescent="0.4">
      <c r="B111" s="26"/>
      <c r="C111" s="27"/>
    </row>
    <row r="112" spans="2:3" ht="15.5" thickTop="1" thickBot="1" x14ac:dyDescent="0.4">
      <c r="B112" s="26"/>
      <c r="C112" s="27"/>
    </row>
    <row r="113" spans="2:3" ht="15.5" thickTop="1" thickBot="1" x14ac:dyDescent="0.4">
      <c r="B113" s="26"/>
      <c r="C113" s="27"/>
    </row>
    <row r="114" spans="2:3" ht="15.5" thickTop="1" thickBot="1" x14ac:dyDescent="0.4">
      <c r="B114" s="26"/>
      <c r="C114" s="27"/>
    </row>
    <row r="115" spans="2:3" ht="15.5" thickTop="1" thickBot="1" x14ac:dyDescent="0.4">
      <c r="B115" s="26"/>
      <c r="C115" s="27"/>
    </row>
    <row r="116" spans="2:3" ht="15.5" thickTop="1" thickBot="1" x14ac:dyDescent="0.4">
      <c r="B116" s="26"/>
      <c r="C116" s="27"/>
    </row>
    <row r="117" spans="2:3" ht="15.5" thickTop="1" thickBot="1" x14ac:dyDescent="0.4">
      <c r="B117" s="26"/>
      <c r="C117" s="27"/>
    </row>
    <row r="118" spans="2:3" ht="15.5" thickTop="1" thickBot="1" x14ac:dyDescent="0.4">
      <c r="B118" s="26"/>
      <c r="C118" s="27"/>
    </row>
    <row r="119" spans="2:3" ht="15.5" thickTop="1" thickBot="1" x14ac:dyDescent="0.4">
      <c r="B119" s="26"/>
      <c r="C119" s="27"/>
    </row>
    <row r="120" spans="2:3" ht="15.5" thickTop="1" thickBot="1" x14ac:dyDescent="0.4">
      <c r="B120" s="26"/>
      <c r="C120" s="27"/>
    </row>
    <row r="121" spans="2:3" ht="15.5" thickTop="1" thickBot="1" x14ac:dyDescent="0.4">
      <c r="B121" s="26"/>
      <c r="C121" s="27"/>
    </row>
    <row r="122" spans="2:3" ht="15.5" thickTop="1" thickBot="1" x14ac:dyDescent="0.4">
      <c r="B122" s="26"/>
      <c r="C122" s="27"/>
    </row>
    <row r="123" spans="2:3" ht="15.5" thickTop="1" thickBot="1" x14ac:dyDescent="0.4">
      <c r="B123" s="26"/>
      <c r="C123" s="27"/>
    </row>
    <row r="124" spans="2:3" ht="15.5" thickTop="1" thickBot="1" x14ac:dyDescent="0.4">
      <c r="B124" s="26"/>
      <c r="C124" s="27"/>
    </row>
    <row r="125" spans="2:3" ht="15.5" thickTop="1" thickBot="1" x14ac:dyDescent="0.4">
      <c r="B125" s="26"/>
      <c r="C125" s="27"/>
    </row>
    <row r="126" spans="2:3" ht="15.5" thickTop="1" thickBot="1" x14ac:dyDescent="0.4">
      <c r="B126" s="26"/>
      <c r="C126" s="27"/>
    </row>
    <row r="127" spans="2:3" ht="15.5" thickTop="1" thickBot="1" x14ac:dyDescent="0.4">
      <c r="B127" s="26"/>
      <c r="C127" s="27"/>
    </row>
    <row r="128" spans="2:3" ht="15.5" thickTop="1" thickBot="1" x14ac:dyDescent="0.4">
      <c r="B128" s="26"/>
      <c r="C128" s="27"/>
    </row>
    <row r="129" spans="2:3" ht="15.5" thickTop="1" thickBot="1" x14ac:dyDescent="0.4">
      <c r="B129" s="26"/>
      <c r="C129" s="27"/>
    </row>
    <row r="130" spans="2:3" ht="15.5" thickTop="1" thickBot="1" x14ac:dyDescent="0.4">
      <c r="B130" s="26"/>
      <c r="C130" s="27"/>
    </row>
    <row r="131" spans="2:3" ht="15.5" thickTop="1" thickBot="1" x14ac:dyDescent="0.4">
      <c r="B131" s="26"/>
      <c r="C131" s="27"/>
    </row>
    <row r="132" spans="2:3" ht="15.5" thickTop="1" thickBot="1" x14ac:dyDescent="0.4">
      <c r="B132" s="26"/>
      <c r="C132" s="27"/>
    </row>
    <row r="133" spans="2:3" ht="15.5" thickTop="1" thickBot="1" x14ac:dyDescent="0.4">
      <c r="B133" s="26"/>
      <c r="C133" s="27"/>
    </row>
    <row r="134" spans="2:3" ht="15.5" thickTop="1" thickBot="1" x14ac:dyDescent="0.4">
      <c r="B134" s="26"/>
      <c r="C134" s="27"/>
    </row>
    <row r="135" spans="2:3" ht="15.5" thickTop="1" thickBot="1" x14ac:dyDescent="0.4">
      <c r="B135" s="26"/>
      <c r="C135" s="27"/>
    </row>
    <row r="136" spans="2:3" ht="15.5" thickTop="1" thickBot="1" x14ac:dyDescent="0.4">
      <c r="B136" s="26"/>
      <c r="C136" s="27"/>
    </row>
    <row r="137" spans="2:3" ht="15.5" thickTop="1" thickBot="1" x14ac:dyDescent="0.4">
      <c r="B137" s="26"/>
      <c r="C137" s="27"/>
    </row>
    <row r="138" spans="2:3" ht="15.5" thickTop="1" thickBot="1" x14ac:dyDescent="0.4">
      <c r="B138" s="26"/>
      <c r="C138" s="27"/>
    </row>
    <row r="139" spans="2:3" ht="15.5" thickTop="1" thickBot="1" x14ac:dyDescent="0.4">
      <c r="B139" s="26"/>
      <c r="C139" s="27"/>
    </row>
    <row r="140" spans="2:3" ht="15.5" thickTop="1" thickBot="1" x14ac:dyDescent="0.4">
      <c r="B140" s="26"/>
      <c r="C140" s="27"/>
    </row>
    <row r="141" spans="2:3" ht="15.5" thickTop="1" thickBot="1" x14ac:dyDescent="0.4">
      <c r="B141" s="26"/>
      <c r="C141" s="27"/>
    </row>
    <row r="142" spans="2:3" ht="15.5" thickTop="1" thickBot="1" x14ac:dyDescent="0.4">
      <c r="B142" s="26"/>
      <c r="C142" s="27"/>
    </row>
    <row r="143" spans="2:3" ht="15.5" thickTop="1" thickBot="1" x14ac:dyDescent="0.4">
      <c r="B143" s="26"/>
      <c r="C143" s="27"/>
    </row>
    <row r="144" spans="2:3" ht="15.5" thickTop="1" thickBot="1" x14ac:dyDescent="0.4">
      <c r="B144" s="26"/>
      <c r="C144" s="27"/>
    </row>
    <row r="145" spans="2:3" ht="15.5" thickTop="1" thickBot="1" x14ac:dyDescent="0.4">
      <c r="B145" s="26"/>
      <c r="C145" s="27"/>
    </row>
    <row r="146" spans="2:3" ht="15.5" thickTop="1" thickBot="1" x14ac:dyDescent="0.4">
      <c r="B146" s="26"/>
      <c r="C146" s="27"/>
    </row>
    <row r="147" spans="2:3" ht="15.5" thickTop="1" thickBot="1" x14ac:dyDescent="0.4">
      <c r="B147" s="26"/>
      <c r="C147" s="27"/>
    </row>
    <row r="148" spans="2:3" ht="15.5" thickTop="1" thickBot="1" x14ac:dyDescent="0.4">
      <c r="B148" s="26"/>
      <c r="C148" s="27"/>
    </row>
    <row r="149" spans="2:3" ht="15.5" thickTop="1" thickBot="1" x14ac:dyDescent="0.4">
      <c r="B149" s="26"/>
      <c r="C149" s="27"/>
    </row>
    <row r="150" spans="2:3" ht="15.5" thickTop="1" thickBot="1" x14ac:dyDescent="0.4">
      <c r="B150" s="26"/>
      <c r="C150" s="27"/>
    </row>
    <row r="151" spans="2:3" ht="15.5" thickTop="1" thickBot="1" x14ac:dyDescent="0.4">
      <c r="B151" s="26"/>
      <c r="C151" s="27"/>
    </row>
    <row r="152" spans="2:3" ht="15.5" thickTop="1" thickBot="1" x14ac:dyDescent="0.4">
      <c r="B152" s="26"/>
      <c r="C152" s="27"/>
    </row>
    <row r="153" spans="2:3" ht="15.5" thickTop="1" thickBot="1" x14ac:dyDescent="0.4">
      <c r="B153" s="26"/>
      <c r="C153" s="27"/>
    </row>
    <row r="154" spans="2:3" ht="15.5" thickTop="1" thickBot="1" x14ac:dyDescent="0.4">
      <c r="B154" s="26"/>
      <c r="C154" s="27"/>
    </row>
    <row r="155" spans="2:3" ht="15.5" thickTop="1" thickBot="1" x14ac:dyDescent="0.4">
      <c r="B155" s="26"/>
      <c r="C155" s="27"/>
    </row>
    <row r="156" spans="2:3" ht="15.5" thickTop="1" thickBot="1" x14ac:dyDescent="0.4">
      <c r="B156" s="26"/>
      <c r="C156" s="27"/>
    </row>
    <row r="157" spans="2:3" ht="15.5" thickTop="1" thickBot="1" x14ac:dyDescent="0.4">
      <c r="B157" s="26"/>
      <c r="C157" s="27"/>
    </row>
    <row r="158" spans="2:3" ht="15.5" thickTop="1" thickBot="1" x14ac:dyDescent="0.4">
      <c r="B158" s="26"/>
      <c r="C158" s="27"/>
    </row>
    <row r="159" spans="2:3" ht="15.5" thickTop="1" thickBot="1" x14ac:dyDescent="0.4">
      <c r="B159" s="26"/>
      <c r="C159" s="27"/>
    </row>
    <row r="160" spans="2:3" ht="15.5" thickTop="1" thickBot="1" x14ac:dyDescent="0.4">
      <c r="B160" s="26"/>
      <c r="C160" s="27"/>
    </row>
    <row r="161" spans="2:3" ht="15.5" thickTop="1" thickBot="1" x14ac:dyDescent="0.4">
      <c r="B161" s="26"/>
      <c r="C161" s="27"/>
    </row>
    <row r="162" spans="2:3" ht="15.5" thickTop="1" thickBot="1" x14ac:dyDescent="0.4">
      <c r="B162" s="26"/>
      <c r="C162" s="27"/>
    </row>
    <row r="163" spans="2:3" ht="15.5" thickTop="1" thickBot="1" x14ac:dyDescent="0.4">
      <c r="B163" s="26"/>
      <c r="C163" s="27"/>
    </row>
    <row r="164" spans="2:3" ht="15.5" thickTop="1" thickBot="1" x14ac:dyDescent="0.4">
      <c r="B164" s="26"/>
      <c r="C164" s="27"/>
    </row>
    <row r="165" spans="2:3" ht="15.5" thickTop="1" thickBot="1" x14ac:dyDescent="0.4">
      <c r="B165" s="26"/>
      <c r="C165" s="27"/>
    </row>
    <row r="166" spans="2:3" ht="15.5" thickTop="1" thickBot="1" x14ac:dyDescent="0.4">
      <c r="B166" s="26"/>
      <c r="C166" s="27"/>
    </row>
    <row r="167" spans="2:3" ht="15.5" thickTop="1" thickBot="1" x14ac:dyDescent="0.4">
      <c r="B167" s="26"/>
      <c r="C167" s="27"/>
    </row>
    <row r="168" spans="2:3" ht="15.5" thickTop="1" thickBot="1" x14ac:dyDescent="0.4">
      <c r="B168" s="26"/>
      <c r="C168" s="27"/>
    </row>
    <row r="169" spans="2:3" ht="15.5" thickTop="1" thickBot="1" x14ac:dyDescent="0.4">
      <c r="B169" s="26"/>
      <c r="C169" s="27"/>
    </row>
    <row r="170" spans="2:3" ht="15.5" thickTop="1" thickBot="1" x14ac:dyDescent="0.4">
      <c r="B170" s="26"/>
      <c r="C170" s="27"/>
    </row>
    <row r="171" spans="2:3" ht="15.5" thickTop="1" thickBot="1" x14ac:dyDescent="0.4">
      <c r="B171" s="26"/>
      <c r="C171" s="27"/>
    </row>
    <row r="172" spans="2:3" ht="15.5" thickTop="1" thickBot="1" x14ac:dyDescent="0.4">
      <c r="B172" s="26"/>
      <c r="C172" s="27"/>
    </row>
    <row r="173" spans="2:3" ht="15.5" thickTop="1" thickBot="1" x14ac:dyDescent="0.4">
      <c r="B173" s="26"/>
      <c r="C173" s="27"/>
    </row>
    <row r="174" spans="2:3" ht="15.5" thickTop="1" thickBot="1" x14ac:dyDescent="0.4">
      <c r="B174" s="26"/>
      <c r="C174" s="27"/>
    </row>
    <row r="175" spans="2:3" ht="15.5" thickTop="1" thickBot="1" x14ac:dyDescent="0.4">
      <c r="B175" s="26"/>
      <c r="C175" s="27"/>
    </row>
    <row r="176" spans="2:3" ht="15.5" thickTop="1" thickBot="1" x14ac:dyDescent="0.4">
      <c r="B176" s="26"/>
      <c r="C176" s="27"/>
    </row>
    <row r="177" spans="2:3" ht="15.5" thickTop="1" thickBot="1" x14ac:dyDescent="0.4">
      <c r="B177" s="26"/>
      <c r="C177" s="27"/>
    </row>
    <row r="178" spans="2:3" ht="15.5" thickTop="1" thickBot="1" x14ac:dyDescent="0.4">
      <c r="B178" s="26"/>
      <c r="C178" s="27"/>
    </row>
    <row r="179" spans="2:3" ht="15.5" thickTop="1" thickBot="1" x14ac:dyDescent="0.4">
      <c r="B179" s="26"/>
      <c r="C179" s="27"/>
    </row>
    <row r="180" spans="2:3" ht="15.5" thickTop="1" thickBot="1" x14ac:dyDescent="0.4">
      <c r="B180" s="26"/>
      <c r="C180" s="27"/>
    </row>
    <row r="181" spans="2:3" ht="15.5" thickTop="1" thickBot="1" x14ac:dyDescent="0.4">
      <c r="B181" s="26"/>
      <c r="C181" s="27"/>
    </row>
    <row r="182" spans="2:3" ht="15.5" thickTop="1" thickBot="1" x14ac:dyDescent="0.4">
      <c r="B182" s="26"/>
      <c r="C182" s="27"/>
    </row>
    <row r="183" spans="2:3" ht="15.5" thickTop="1" thickBot="1" x14ac:dyDescent="0.4">
      <c r="B183" s="26"/>
      <c r="C183" s="27"/>
    </row>
    <row r="184" spans="2:3" ht="15.5" thickTop="1" thickBot="1" x14ac:dyDescent="0.4">
      <c r="B184" s="26"/>
      <c r="C184" s="27"/>
    </row>
    <row r="185" spans="2:3" ht="15.5" thickTop="1" thickBot="1" x14ac:dyDescent="0.4">
      <c r="B185" s="26"/>
      <c r="C185" s="27"/>
    </row>
    <row r="186" spans="2:3" ht="15.5" thickTop="1" thickBot="1" x14ac:dyDescent="0.4">
      <c r="B186" s="26"/>
      <c r="C186" s="27"/>
    </row>
    <row r="187" spans="2:3" ht="15.5" thickTop="1" thickBot="1" x14ac:dyDescent="0.4">
      <c r="B187" s="26"/>
      <c r="C187" s="27"/>
    </row>
    <row r="188" spans="2:3" ht="15.5" thickTop="1" thickBot="1" x14ac:dyDescent="0.4">
      <c r="B188" s="26"/>
      <c r="C188" s="27"/>
    </row>
    <row r="189" spans="2:3" ht="15.5" thickTop="1" thickBot="1" x14ac:dyDescent="0.4">
      <c r="B189" s="26"/>
      <c r="C189" s="27"/>
    </row>
    <row r="190" spans="2:3" ht="15.5" thickTop="1" thickBot="1" x14ac:dyDescent="0.4">
      <c r="B190" s="26"/>
      <c r="C190" s="27"/>
    </row>
    <row r="191" spans="2:3" ht="15.5" thickTop="1" thickBot="1" x14ac:dyDescent="0.4">
      <c r="B191" s="26"/>
      <c r="C191" s="27"/>
    </row>
    <row r="192" spans="2:3" ht="15.5" thickTop="1" thickBot="1" x14ac:dyDescent="0.4">
      <c r="B192" s="26"/>
      <c r="C192" s="27"/>
    </row>
    <row r="193" spans="2:3" ht="15.5" thickTop="1" thickBot="1" x14ac:dyDescent="0.4">
      <c r="B193" s="26"/>
      <c r="C193" s="27"/>
    </row>
    <row r="194" spans="2:3" ht="15.5" thickTop="1" thickBot="1" x14ac:dyDescent="0.4">
      <c r="B194" s="26"/>
      <c r="C194" s="27"/>
    </row>
    <row r="195" spans="2:3" ht="15.5" thickTop="1" thickBot="1" x14ac:dyDescent="0.4">
      <c r="B195" s="26"/>
      <c r="C195" s="27"/>
    </row>
    <row r="196" spans="2:3" ht="15.5" thickTop="1" thickBot="1" x14ac:dyDescent="0.4">
      <c r="B196" s="26"/>
      <c r="C196" s="27"/>
    </row>
    <row r="197" spans="2:3" ht="15.5" thickTop="1" thickBot="1" x14ac:dyDescent="0.4">
      <c r="B197" s="26"/>
      <c r="C197" s="27"/>
    </row>
    <row r="198" spans="2:3" ht="15.5" thickTop="1" thickBot="1" x14ac:dyDescent="0.4">
      <c r="B198" s="26"/>
      <c r="C198" s="27"/>
    </row>
    <row r="199" spans="2:3" ht="15.5" thickTop="1" thickBot="1" x14ac:dyDescent="0.4">
      <c r="B199" s="26"/>
      <c r="C199" s="27"/>
    </row>
    <row r="200" spans="2:3" ht="15.5" thickTop="1" thickBot="1" x14ac:dyDescent="0.4">
      <c r="B200" s="26"/>
      <c r="C200" s="27"/>
    </row>
    <row r="201" spans="2:3" ht="15.5" thickTop="1" thickBot="1" x14ac:dyDescent="0.4">
      <c r="B201" s="26"/>
      <c r="C201" s="27"/>
    </row>
    <row r="202" spans="2:3" ht="15.5" thickTop="1" thickBot="1" x14ac:dyDescent="0.4">
      <c r="B202" s="26"/>
      <c r="C202" s="27"/>
    </row>
    <row r="203" spans="2:3" ht="15.5" thickTop="1" thickBot="1" x14ac:dyDescent="0.4">
      <c r="B203" s="26"/>
      <c r="C203" s="27"/>
    </row>
    <row r="204" spans="2:3" ht="15.5" thickTop="1" thickBot="1" x14ac:dyDescent="0.4">
      <c r="B204" s="26"/>
      <c r="C204" s="27"/>
    </row>
    <row r="205" spans="2:3" ht="15.5" thickTop="1" thickBot="1" x14ac:dyDescent="0.4">
      <c r="B205" s="26"/>
      <c r="C205" s="27"/>
    </row>
    <row r="206" spans="2:3" ht="15.5" thickTop="1" thickBot="1" x14ac:dyDescent="0.4">
      <c r="B206" s="26"/>
      <c r="C206" s="27"/>
    </row>
    <row r="207" spans="2:3" ht="15.5" thickTop="1" thickBot="1" x14ac:dyDescent="0.4">
      <c r="B207" s="26"/>
      <c r="C207" s="27"/>
    </row>
    <row r="208" spans="2:3" ht="15.5" thickTop="1" thickBot="1" x14ac:dyDescent="0.4">
      <c r="B208" s="26"/>
      <c r="C208" s="27"/>
    </row>
    <row r="209" spans="2:3" ht="15.5" thickTop="1" thickBot="1" x14ac:dyDescent="0.4">
      <c r="B209" s="26"/>
      <c r="C209" s="27"/>
    </row>
    <row r="210" spans="2:3" ht="15.5" thickTop="1" thickBot="1" x14ac:dyDescent="0.4">
      <c r="B210" s="26"/>
      <c r="C210" s="27"/>
    </row>
    <row r="211" spans="2:3" ht="15.5" thickTop="1" thickBot="1" x14ac:dyDescent="0.4">
      <c r="B211" s="26"/>
      <c r="C211" s="27"/>
    </row>
    <row r="212" spans="2:3" ht="15.5" thickTop="1" thickBot="1" x14ac:dyDescent="0.4">
      <c r="B212" s="26"/>
      <c r="C212" s="27"/>
    </row>
    <row r="213" spans="2:3" ht="15.5" thickTop="1" thickBot="1" x14ac:dyDescent="0.4">
      <c r="B213" s="26"/>
      <c r="C213" s="27"/>
    </row>
    <row r="214" spans="2:3" ht="15.5" thickTop="1" thickBot="1" x14ac:dyDescent="0.4">
      <c r="B214" s="26"/>
      <c r="C214" s="27"/>
    </row>
    <row r="215" spans="2:3" ht="15.5" thickTop="1" thickBot="1" x14ac:dyDescent="0.4">
      <c r="B215" s="26"/>
      <c r="C215" s="27"/>
    </row>
    <row r="216" spans="2:3" ht="15.5" thickTop="1" thickBot="1" x14ac:dyDescent="0.4">
      <c r="B216" s="26"/>
      <c r="C216" s="27"/>
    </row>
    <row r="217" spans="2:3" ht="15.5" thickTop="1" thickBot="1" x14ac:dyDescent="0.4">
      <c r="B217" s="26"/>
      <c r="C217" s="27"/>
    </row>
    <row r="218" spans="2:3" ht="15.5" thickTop="1" thickBot="1" x14ac:dyDescent="0.4">
      <c r="B218" s="26"/>
      <c r="C218" s="27"/>
    </row>
    <row r="219" spans="2:3" ht="15.5" thickTop="1" thickBot="1" x14ac:dyDescent="0.4">
      <c r="B219" s="26"/>
      <c r="C219" s="27"/>
    </row>
    <row r="220" spans="2:3" ht="15.5" thickTop="1" thickBot="1" x14ac:dyDescent="0.4">
      <c r="B220" s="26"/>
      <c r="C220" s="27"/>
    </row>
    <row r="221" spans="2:3" ht="15.5" thickTop="1" thickBot="1" x14ac:dyDescent="0.4">
      <c r="B221" s="26"/>
      <c r="C221" s="27"/>
    </row>
    <row r="222" spans="2:3" ht="15.5" thickTop="1" thickBot="1" x14ac:dyDescent="0.4">
      <c r="B222" s="26"/>
      <c r="C222" s="27"/>
    </row>
    <row r="223" spans="2:3" ht="15.5" thickTop="1" thickBot="1" x14ac:dyDescent="0.4">
      <c r="B223" s="26"/>
      <c r="C223" s="27"/>
    </row>
    <row r="224" spans="2:3" ht="15.5" thickTop="1" thickBot="1" x14ac:dyDescent="0.4">
      <c r="B224" s="26"/>
      <c r="C224" s="27"/>
    </row>
    <row r="225" spans="2:3" ht="15.5" thickTop="1" thickBot="1" x14ac:dyDescent="0.4">
      <c r="B225" s="26"/>
      <c r="C225" s="27"/>
    </row>
    <row r="226" spans="2:3" ht="15.5" thickTop="1" thickBot="1" x14ac:dyDescent="0.4">
      <c r="B226" s="26"/>
      <c r="C226" s="27"/>
    </row>
    <row r="227" spans="2:3" ht="15.5" thickTop="1" thickBot="1" x14ac:dyDescent="0.4">
      <c r="B227" s="26"/>
      <c r="C227" s="27"/>
    </row>
    <row r="228" spans="2:3" ht="15.5" thickTop="1" thickBot="1" x14ac:dyDescent="0.4">
      <c r="B228" s="26"/>
      <c r="C228" s="27"/>
    </row>
    <row r="229" spans="2:3" ht="15.5" thickTop="1" thickBot="1" x14ac:dyDescent="0.4">
      <c r="B229" s="26"/>
      <c r="C229" s="27"/>
    </row>
    <row r="230" spans="2:3" ht="15.5" thickTop="1" thickBot="1" x14ac:dyDescent="0.4">
      <c r="B230" s="26"/>
      <c r="C230" s="27"/>
    </row>
    <row r="231" spans="2:3" ht="15.5" thickTop="1" thickBot="1" x14ac:dyDescent="0.4">
      <c r="B231" s="26"/>
      <c r="C231" s="27"/>
    </row>
    <row r="232" spans="2:3" ht="15.5" thickTop="1" thickBot="1" x14ac:dyDescent="0.4">
      <c r="B232" s="26"/>
      <c r="C232" s="27"/>
    </row>
    <row r="233" spans="2:3" ht="15.5" thickTop="1" thickBot="1" x14ac:dyDescent="0.4">
      <c r="B233" s="26"/>
      <c r="C233" s="27"/>
    </row>
    <row r="234" spans="2:3" ht="15.5" thickTop="1" thickBot="1" x14ac:dyDescent="0.4">
      <c r="B234" s="26"/>
      <c r="C234" s="27"/>
    </row>
    <row r="235" spans="2:3" ht="15.5" thickTop="1" thickBot="1" x14ac:dyDescent="0.4">
      <c r="B235" s="26"/>
      <c r="C235" s="27"/>
    </row>
    <row r="236" spans="2:3" ht="15.5" thickTop="1" thickBot="1" x14ac:dyDescent="0.4">
      <c r="B236" s="26"/>
      <c r="C236" s="27"/>
    </row>
    <row r="237" spans="2:3" ht="15.5" thickTop="1" thickBot="1" x14ac:dyDescent="0.4">
      <c r="B237" s="26"/>
      <c r="C237" s="27"/>
    </row>
    <row r="238" spans="2:3" ht="15.5" thickTop="1" thickBot="1" x14ac:dyDescent="0.4">
      <c r="B238" s="26"/>
      <c r="C238" s="27"/>
    </row>
    <row r="239" spans="2:3" ht="15.5" thickTop="1" thickBot="1" x14ac:dyDescent="0.4">
      <c r="B239" s="26"/>
      <c r="C239" s="27"/>
    </row>
    <row r="240" spans="2:3" ht="15.5" thickTop="1" thickBot="1" x14ac:dyDescent="0.4">
      <c r="B240" s="26"/>
      <c r="C240" s="27"/>
    </row>
    <row r="241" spans="2:3" ht="15.5" thickTop="1" thickBot="1" x14ac:dyDescent="0.4">
      <c r="B241" s="26"/>
      <c r="C241" s="27"/>
    </row>
    <row r="242" spans="2:3" ht="15.5" thickTop="1" thickBot="1" x14ac:dyDescent="0.4">
      <c r="B242" s="26"/>
      <c r="C242" s="27"/>
    </row>
    <row r="243" spans="2:3" ht="15.5" thickTop="1" thickBot="1" x14ac:dyDescent="0.4">
      <c r="B243" s="26"/>
      <c r="C243" s="27"/>
    </row>
    <row r="244" spans="2:3" ht="15.5" thickTop="1" thickBot="1" x14ac:dyDescent="0.4">
      <c r="B244" s="26"/>
      <c r="C244" s="27"/>
    </row>
    <row r="245" spans="2:3" ht="15.5" thickTop="1" thickBot="1" x14ac:dyDescent="0.4">
      <c r="B245" s="26"/>
      <c r="C245" s="27"/>
    </row>
    <row r="246" spans="2:3" ht="15.5" thickTop="1" thickBot="1" x14ac:dyDescent="0.4">
      <c r="B246" s="26"/>
      <c r="C246" s="27"/>
    </row>
    <row r="247" spans="2:3" ht="15.5" thickTop="1" thickBot="1" x14ac:dyDescent="0.4">
      <c r="B247" s="26"/>
      <c r="C247" s="27"/>
    </row>
    <row r="248" spans="2:3" ht="15.5" thickTop="1" thickBot="1" x14ac:dyDescent="0.4">
      <c r="B248" s="26"/>
      <c r="C248" s="27"/>
    </row>
    <row r="249" spans="2:3" ht="15.5" thickTop="1" thickBot="1" x14ac:dyDescent="0.4">
      <c r="B249" s="26"/>
      <c r="C249" s="27"/>
    </row>
    <row r="250" spans="2:3" ht="15.5" thickTop="1" thickBot="1" x14ac:dyDescent="0.4">
      <c r="B250" s="26"/>
      <c r="C250" s="27"/>
    </row>
    <row r="251" spans="2:3" ht="15.5" thickTop="1" thickBot="1" x14ac:dyDescent="0.4">
      <c r="B251" s="26"/>
      <c r="C251" s="27"/>
    </row>
    <row r="252" spans="2:3" ht="15.5" thickTop="1" thickBot="1" x14ac:dyDescent="0.4">
      <c r="B252" s="26"/>
      <c r="C252" s="27"/>
    </row>
    <row r="253" spans="2:3" ht="15.5" thickTop="1" thickBot="1" x14ac:dyDescent="0.4">
      <c r="B253" s="26"/>
      <c r="C253" s="27"/>
    </row>
    <row r="254" spans="2:3" ht="15.5" thickTop="1" thickBot="1" x14ac:dyDescent="0.4">
      <c r="B254" s="26"/>
      <c r="C254" s="27"/>
    </row>
    <row r="255" spans="2:3" ht="15.5" thickTop="1" thickBot="1" x14ac:dyDescent="0.4">
      <c r="B255" s="26"/>
      <c r="C255" s="27"/>
    </row>
    <row r="256" spans="2:3" ht="15.5" thickTop="1" thickBot="1" x14ac:dyDescent="0.4">
      <c r="B256" s="26"/>
      <c r="C256" s="27"/>
    </row>
    <row r="257" spans="2:3" ht="15.5" thickTop="1" thickBot="1" x14ac:dyDescent="0.4">
      <c r="B257" s="26"/>
      <c r="C257" s="27"/>
    </row>
    <row r="258" spans="2:3" ht="15.5" thickTop="1" thickBot="1" x14ac:dyDescent="0.4">
      <c r="B258" s="26"/>
      <c r="C258" s="27"/>
    </row>
    <row r="259" spans="2:3" ht="15.5" thickTop="1" thickBot="1" x14ac:dyDescent="0.4">
      <c r="B259" s="26"/>
      <c r="C259" s="27"/>
    </row>
    <row r="260" spans="2:3" ht="15.5" thickTop="1" thickBot="1" x14ac:dyDescent="0.4">
      <c r="B260" s="26"/>
      <c r="C260" s="27"/>
    </row>
    <row r="261" spans="2:3" ht="15.5" thickTop="1" thickBot="1" x14ac:dyDescent="0.4">
      <c r="B261" s="26"/>
      <c r="C261" s="27"/>
    </row>
    <row r="262" spans="2:3" ht="15.5" thickTop="1" thickBot="1" x14ac:dyDescent="0.4">
      <c r="B262" s="26"/>
      <c r="C262" s="27"/>
    </row>
    <row r="263" spans="2:3" ht="15.5" thickTop="1" thickBot="1" x14ac:dyDescent="0.4">
      <c r="B263" s="26"/>
      <c r="C263" s="27"/>
    </row>
    <row r="264" spans="2:3" ht="15.5" thickTop="1" thickBot="1" x14ac:dyDescent="0.4">
      <c r="B264" s="26"/>
      <c r="C264" s="27"/>
    </row>
    <row r="265" spans="2:3" ht="15.5" thickTop="1" thickBot="1" x14ac:dyDescent="0.4">
      <c r="B265" s="26"/>
      <c r="C265" s="27"/>
    </row>
    <row r="266" spans="2:3" ht="15.5" thickTop="1" thickBot="1" x14ac:dyDescent="0.4">
      <c r="B266" s="26"/>
      <c r="C266" s="27"/>
    </row>
    <row r="267" spans="2:3" ht="15.5" thickTop="1" thickBot="1" x14ac:dyDescent="0.4">
      <c r="B267" s="26"/>
      <c r="C267" s="27"/>
    </row>
    <row r="268" spans="2:3" ht="15.5" thickTop="1" thickBot="1" x14ac:dyDescent="0.4">
      <c r="B268" s="26"/>
      <c r="C268" s="27"/>
    </row>
    <row r="269" spans="2:3" ht="15.5" thickTop="1" thickBot="1" x14ac:dyDescent="0.4">
      <c r="B269" s="26"/>
      <c r="C269" s="27"/>
    </row>
    <row r="270" spans="2:3" ht="15.5" thickTop="1" thickBot="1" x14ac:dyDescent="0.4">
      <c r="B270" s="26"/>
      <c r="C270" s="27"/>
    </row>
    <row r="271" spans="2:3" ht="15.5" thickTop="1" thickBot="1" x14ac:dyDescent="0.4">
      <c r="B271" s="26"/>
      <c r="C271" s="27"/>
    </row>
    <row r="272" spans="2:3" ht="15.5" thickTop="1" thickBot="1" x14ac:dyDescent="0.4">
      <c r="B272" s="26"/>
      <c r="C272" s="27"/>
    </row>
    <row r="273" spans="2:3" ht="15.5" thickTop="1" thickBot="1" x14ac:dyDescent="0.4">
      <c r="B273" s="26"/>
      <c r="C273" s="27"/>
    </row>
    <row r="274" spans="2:3" ht="15.5" thickTop="1" thickBot="1" x14ac:dyDescent="0.4">
      <c r="B274" s="26"/>
      <c r="C274" s="27"/>
    </row>
    <row r="275" spans="2:3" ht="15.5" thickTop="1" thickBot="1" x14ac:dyDescent="0.4">
      <c r="B275" s="26"/>
      <c r="C275" s="27"/>
    </row>
    <row r="276" spans="2:3" ht="15.5" thickTop="1" thickBot="1" x14ac:dyDescent="0.4">
      <c r="B276" s="26"/>
      <c r="C276" s="27"/>
    </row>
    <row r="277" spans="2:3" ht="15.5" thickTop="1" thickBot="1" x14ac:dyDescent="0.4">
      <c r="B277" s="26"/>
      <c r="C277" s="27"/>
    </row>
    <row r="278" spans="2:3" ht="15.5" thickTop="1" thickBot="1" x14ac:dyDescent="0.4">
      <c r="B278" s="26"/>
      <c r="C278" s="27"/>
    </row>
    <row r="279" spans="2:3" ht="15.5" thickTop="1" thickBot="1" x14ac:dyDescent="0.4">
      <c r="B279" s="26"/>
      <c r="C279" s="27"/>
    </row>
    <row r="280" spans="2:3" ht="15.5" thickTop="1" thickBot="1" x14ac:dyDescent="0.4">
      <c r="B280" s="26"/>
      <c r="C280" s="27"/>
    </row>
    <row r="281" spans="2:3" ht="15.5" thickTop="1" thickBot="1" x14ac:dyDescent="0.4">
      <c r="B281" s="26"/>
      <c r="C281" s="27"/>
    </row>
    <row r="282" spans="2:3" ht="15.5" thickTop="1" thickBot="1" x14ac:dyDescent="0.4">
      <c r="B282" s="26"/>
      <c r="C282" s="27"/>
    </row>
    <row r="283" spans="2:3" ht="15.5" thickTop="1" thickBot="1" x14ac:dyDescent="0.4">
      <c r="B283" s="26"/>
      <c r="C283" s="27"/>
    </row>
    <row r="284" spans="2:3" ht="15.5" thickTop="1" thickBot="1" x14ac:dyDescent="0.4">
      <c r="B284" s="26"/>
      <c r="C284" s="27"/>
    </row>
    <row r="285" spans="2:3" ht="15.5" thickTop="1" thickBot="1" x14ac:dyDescent="0.4">
      <c r="B285" s="26"/>
      <c r="C285" s="27"/>
    </row>
    <row r="286" spans="2:3" ht="15.5" thickTop="1" thickBot="1" x14ac:dyDescent="0.4">
      <c r="B286" s="26"/>
      <c r="C286" s="27"/>
    </row>
    <row r="287" spans="2:3" ht="15.5" thickTop="1" thickBot="1" x14ac:dyDescent="0.4">
      <c r="B287" s="26"/>
      <c r="C287" s="27"/>
    </row>
    <row r="288" spans="2:3" ht="15.5" thickTop="1" thickBot="1" x14ac:dyDescent="0.4">
      <c r="B288" s="26"/>
      <c r="C288" s="27"/>
    </row>
    <row r="289" spans="2:3" ht="15.5" thickTop="1" thickBot="1" x14ac:dyDescent="0.4">
      <c r="B289" s="26"/>
      <c r="C289" s="27"/>
    </row>
    <row r="290" spans="2:3" ht="15.5" thickTop="1" thickBot="1" x14ac:dyDescent="0.4">
      <c r="B290" s="26"/>
      <c r="C290" s="27"/>
    </row>
    <row r="291" spans="2:3" ht="15.5" thickTop="1" thickBot="1" x14ac:dyDescent="0.4">
      <c r="B291" s="26"/>
      <c r="C291" s="27"/>
    </row>
    <row r="292" spans="2:3" ht="15.5" thickTop="1" thickBot="1" x14ac:dyDescent="0.4">
      <c r="B292" s="26"/>
      <c r="C292" s="27"/>
    </row>
    <row r="293" spans="2:3" ht="15.5" thickTop="1" thickBot="1" x14ac:dyDescent="0.4">
      <c r="B293" s="26"/>
      <c r="C293" s="27"/>
    </row>
    <row r="294" spans="2:3" ht="15.5" thickTop="1" thickBot="1" x14ac:dyDescent="0.4">
      <c r="B294" s="26"/>
      <c r="C294" s="27"/>
    </row>
    <row r="295" spans="2:3" ht="15.5" thickTop="1" thickBot="1" x14ac:dyDescent="0.4">
      <c r="B295" s="26"/>
      <c r="C295" s="27"/>
    </row>
    <row r="296" spans="2:3" ht="15.5" thickTop="1" thickBot="1" x14ac:dyDescent="0.4">
      <c r="B296" s="26"/>
      <c r="C296" s="27"/>
    </row>
    <row r="297" spans="2:3" ht="15.5" thickTop="1" thickBot="1" x14ac:dyDescent="0.4">
      <c r="B297" s="26"/>
      <c r="C297" s="27"/>
    </row>
    <row r="298" spans="2:3" ht="15.5" thickTop="1" thickBot="1" x14ac:dyDescent="0.4">
      <c r="B298" s="26"/>
      <c r="C298" s="27"/>
    </row>
    <row r="299" spans="2:3" ht="15.5" thickTop="1" thickBot="1" x14ac:dyDescent="0.4">
      <c r="B299" s="26"/>
      <c r="C299" s="27"/>
    </row>
    <row r="300" spans="2:3" ht="15.5" thickTop="1" thickBot="1" x14ac:dyDescent="0.4">
      <c r="B300" s="26"/>
      <c r="C300" s="27"/>
    </row>
    <row r="301" spans="2:3" ht="15.5" thickTop="1" thickBot="1" x14ac:dyDescent="0.4">
      <c r="B301" s="26"/>
      <c r="C301" s="27"/>
    </row>
    <row r="302" spans="2:3" ht="15.5" thickTop="1" thickBot="1" x14ac:dyDescent="0.4">
      <c r="B302" s="26"/>
      <c r="C302" s="27"/>
    </row>
    <row r="303" spans="2:3" ht="15.5" thickTop="1" thickBot="1" x14ac:dyDescent="0.4">
      <c r="B303" s="26"/>
      <c r="C303" s="27"/>
    </row>
    <row r="304" spans="2:3" ht="15.5" thickTop="1" thickBot="1" x14ac:dyDescent="0.4">
      <c r="B304" s="26"/>
      <c r="C304" s="27"/>
    </row>
    <row r="305" spans="2:3" ht="15.5" thickTop="1" thickBot="1" x14ac:dyDescent="0.4">
      <c r="B305" s="26"/>
      <c r="C305" s="27"/>
    </row>
    <row r="306" spans="2:3" ht="15.5" thickTop="1" thickBot="1" x14ac:dyDescent="0.4">
      <c r="B306" s="26"/>
      <c r="C306" s="27"/>
    </row>
    <row r="307" spans="2:3" ht="15.5" thickTop="1" thickBot="1" x14ac:dyDescent="0.4">
      <c r="B307" s="26"/>
      <c r="C307" s="27"/>
    </row>
    <row r="308" spans="2:3" ht="15.5" thickTop="1" thickBot="1" x14ac:dyDescent="0.4">
      <c r="B308" s="26"/>
      <c r="C308" s="27"/>
    </row>
    <row r="309" spans="2:3" ht="15.5" thickTop="1" thickBot="1" x14ac:dyDescent="0.4">
      <c r="B309" s="26"/>
      <c r="C309" s="27"/>
    </row>
    <row r="310" spans="2:3" ht="15.5" thickTop="1" thickBot="1" x14ac:dyDescent="0.4">
      <c r="B310" s="26"/>
      <c r="C310" s="27"/>
    </row>
    <row r="311" spans="2:3" ht="15.5" thickTop="1" thickBot="1" x14ac:dyDescent="0.4">
      <c r="B311" s="26"/>
      <c r="C311" s="27"/>
    </row>
    <row r="312" spans="2:3" ht="15.5" thickTop="1" thickBot="1" x14ac:dyDescent="0.4">
      <c r="B312" s="26"/>
      <c r="C312" s="27"/>
    </row>
    <row r="313" spans="2:3" ht="15.5" thickTop="1" thickBot="1" x14ac:dyDescent="0.4">
      <c r="B313" s="26"/>
      <c r="C313" s="27"/>
    </row>
    <row r="314" spans="2:3" ht="15.5" thickTop="1" thickBot="1" x14ac:dyDescent="0.4">
      <c r="B314" s="26"/>
      <c r="C314" s="27"/>
    </row>
    <row r="315" spans="2:3" ht="15.5" thickTop="1" thickBot="1" x14ac:dyDescent="0.4">
      <c r="B315" s="26"/>
      <c r="C315" s="27"/>
    </row>
    <row r="316" spans="2:3" ht="15.5" thickTop="1" thickBot="1" x14ac:dyDescent="0.4">
      <c r="B316" s="26"/>
      <c r="C316" s="27"/>
    </row>
    <row r="317" spans="2:3" ht="15.5" thickTop="1" thickBot="1" x14ac:dyDescent="0.4">
      <c r="B317" s="26"/>
      <c r="C317" s="27"/>
    </row>
    <row r="318" spans="2:3" ht="15.5" thickTop="1" thickBot="1" x14ac:dyDescent="0.4">
      <c r="B318" s="26"/>
      <c r="C318" s="27"/>
    </row>
    <row r="319" spans="2:3" ht="15.5" thickTop="1" thickBot="1" x14ac:dyDescent="0.4">
      <c r="B319" s="26"/>
      <c r="C319" s="27"/>
    </row>
    <row r="320" spans="2:3" ht="15.5" thickTop="1" thickBot="1" x14ac:dyDescent="0.4">
      <c r="B320" s="26"/>
      <c r="C320" s="27"/>
    </row>
    <row r="321" spans="2:3" ht="15.5" thickTop="1" thickBot="1" x14ac:dyDescent="0.4">
      <c r="B321" s="26"/>
      <c r="C321" s="27"/>
    </row>
    <row r="322" spans="2:3" ht="15.5" thickTop="1" thickBot="1" x14ac:dyDescent="0.4">
      <c r="B322" s="26"/>
      <c r="C322" s="27"/>
    </row>
    <row r="323" spans="2:3" ht="15.5" thickTop="1" thickBot="1" x14ac:dyDescent="0.4">
      <c r="B323" s="26"/>
      <c r="C323" s="27"/>
    </row>
    <row r="324" spans="2:3" ht="15.5" thickTop="1" thickBot="1" x14ac:dyDescent="0.4">
      <c r="B324" s="26"/>
      <c r="C324" s="27"/>
    </row>
    <row r="325" spans="2:3" ht="15.5" thickTop="1" thickBot="1" x14ac:dyDescent="0.4">
      <c r="B325" s="26"/>
      <c r="C325" s="27"/>
    </row>
    <row r="326" spans="2:3" ht="15.5" thickTop="1" thickBot="1" x14ac:dyDescent="0.4">
      <c r="B326" s="26"/>
      <c r="C326" s="27"/>
    </row>
    <row r="327" spans="2:3" ht="15.5" thickTop="1" thickBot="1" x14ac:dyDescent="0.4">
      <c r="B327" s="26"/>
      <c r="C327" s="27"/>
    </row>
    <row r="328" spans="2:3" ht="15.5" thickTop="1" thickBot="1" x14ac:dyDescent="0.4">
      <c r="B328" s="26"/>
      <c r="C328" s="27"/>
    </row>
    <row r="329" spans="2:3" ht="15.5" thickTop="1" thickBot="1" x14ac:dyDescent="0.4">
      <c r="B329" s="26"/>
      <c r="C329" s="27"/>
    </row>
    <row r="330" spans="2:3" ht="15.5" thickTop="1" thickBot="1" x14ac:dyDescent="0.4">
      <c r="B330" s="26"/>
      <c r="C330" s="27"/>
    </row>
    <row r="331" spans="2:3" ht="15.5" thickTop="1" thickBot="1" x14ac:dyDescent="0.4">
      <c r="B331" s="26"/>
      <c r="C331" s="27"/>
    </row>
    <row r="332" spans="2:3" ht="15.5" thickTop="1" thickBot="1" x14ac:dyDescent="0.4">
      <c r="B332" s="26"/>
      <c r="C332" s="27"/>
    </row>
    <row r="333" spans="2:3" ht="15.5" thickTop="1" thickBot="1" x14ac:dyDescent="0.4">
      <c r="B333" s="26"/>
      <c r="C333" s="27"/>
    </row>
    <row r="334" spans="2:3" ht="15.5" thickTop="1" thickBot="1" x14ac:dyDescent="0.4">
      <c r="B334" s="26"/>
      <c r="C334" s="27"/>
    </row>
    <row r="335" spans="2:3" ht="15.5" thickTop="1" thickBot="1" x14ac:dyDescent="0.4">
      <c r="B335" s="26"/>
      <c r="C335" s="27"/>
    </row>
    <row r="336" spans="2:3" ht="15.5" thickTop="1" thickBot="1" x14ac:dyDescent="0.4">
      <c r="B336" s="26"/>
      <c r="C336" s="27"/>
    </row>
    <row r="337" spans="2:3" ht="15.5" thickTop="1" thickBot="1" x14ac:dyDescent="0.4">
      <c r="B337" s="26"/>
      <c r="C337" s="27"/>
    </row>
    <row r="338" spans="2:3" ht="15.5" thickTop="1" thickBot="1" x14ac:dyDescent="0.4">
      <c r="B338" s="26"/>
      <c r="C338" s="27"/>
    </row>
    <row r="339" spans="2:3" ht="15.5" thickTop="1" thickBot="1" x14ac:dyDescent="0.4">
      <c r="B339" s="26"/>
      <c r="C339" s="27"/>
    </row>
    <row r="340" spans="2:3" ht="15.5" thickTop="1" thickBot="1" x14ac:dyDescent="0.4">
      <c r="B340" s="26"/>
      <c r="C340" s="27"/>
    </row>
    <row r="341" spans="2:3" ht="15.5" thickTop="1" thickBot="1" x14ac:dyDescent="0.4">
      <c r="B341" s="26"/>
      <c r="C341" s="27"/>
    </row>
    <row r="342" spans="2:3" ht="15.5" thickTop="1" thickBot="1" x14ac:dyDescent="0.4">
      <c r="B342" s="26"/>
      <c r="C342" s="27"/>
    </row>
    <row r="343" spans="2:3" ht="15.5" thickTop="1" thickBot="1" x14ac:dyDescent="0.4">
      <c r="B343" s="26"/>
      <c r="C343" s="27"/>
    </row>
    <row r="344" spans="2:3" ht="15.5" thickTop="1" thickBot="1" x14ac:dyDescent="0.4">
      <c r="B344" s="26"/>
      <c r="C344" s="27"/>
    </row>
    <row r="345" spans="2:3" ht="15.5" thickTop="1" thickBot="1" x14ac:dyDescent="0.4">
      <c r="B345" s="26"/>
      <c r="C345" s="27"/>
    </row>
    <row r="346" spans="2:3" ht="15.5" thickTop="1" thickBot="1" x14ac:dyDescent="0.4">
      <c r="B346" s="26"/>
      <c r="C346" s="27"/>
    </row>
    <row r="347" spans="2:3" ht="15.5" thickTop="1" thickBot="1" x14ac:dyDescent="0.4">
      <c r="B347" s="26"/>
      <c r="C347" s="27"/>
    </row>
    <row r="348" spans="2:3" ht="15.5" thickTop="1" thickBot="1" x14ac:dyDescent="0.4">
      <c r="B348" s="26"/>
      <c r="C348" s="27"/>
    </row>
    <row r="349" spans="2:3" ht="15.5" thickTop="1" thickBot="1" x14ac:dyDescent="0.4">
      <c r="B349" s="26"/>
      <c r="C349" s="27"/>
    </row>
    <row r="350" spans="2:3" ht="15.5" thickTop="1" thickBot="1" x14ac:dyDescent="0.4">
      <c r="B350" s="26"/>
      <c r="C350" s="27"/>
    </row>
    <row r="351" spans="2:3" ht="15.5" thickTop="1" thickBot="1" x14ac:dyDescent="0.4">
      <c r="B351" s="26"/>
      <c r="C351" s="27"/>
    </row>
    <row r="352" spans="2:3" ht="15.5" thickTop="1" thickBot="1" x14ac:dyDescent="0.4">
      <c r="B352" s="26"/>
      <c r="C352" s="27"/>
    </row>
    <row r="353" spans="2:3" ht="15.5" thickTop="1" thickBot="1" x14ac:dyDescent="0.4">
      <c r="B353" s="26"/>
      <c r="C353" s="27"/>
    </row>
    <row r="354" spans="2:3" ht="15.5" thickTop="1" thickBot="1" x14ac:dyDescent="0.4">
      <c r="B354" s="26"/>
      <c r="C354" s="27"/>
    </row>
    <row r="355" spans="2:3" ht="15.5" thickTop="1" thickBot="1" x14ac:dyDescent="0.4">
      <c r="B355" s="26"/>
      <c r="C355" s="27"/>
    </row>
    <row r="356" spans="2:3" ht="15.5" thickTop="1" thickBot="1" x14ac:dyDescent="0.4">
      <c r="B356" s="26"/>
      <c r="C356" s="27"/>
    </row>
    <row r="357" spans="2:3" ht="15.5" thickTop="1" thickBot="1" x14ac:dyDescent="0.4">
      <c r="B357" s="26"/>
      <c r="C357" s="27"/>
    </row>
    <row r="358" spans="2:3" ht="15.5" thickTop="1" thickBot="1" x14ac:dyDescent="0.4">
      <c r="B358" s="26"/>
      <c r="C358" s="27"/>
    </row>
    <row r="359" spans="2:3" ht="15.5" thickTop="1" thickBot="1" x14ac:dyDescent="0.4">
      <c r="B359" s="26"/>
      <c r="C359" s="27"/>
    </row>
    <row r="360" spans="2:3" ht="15.5" thickTop="1" thickBot="1" x14ac:dyDescent="0.4">
      <c r="B360" s="26"/>
      <c r="C360" s="27"/>
    </row>
    <row r="361" spans="2:3" ht="15.5" thickTop="1" thickBot="1" x14ac:dyDescent="0.4">
      <c r="B361" s="26"/>
      <c r="C361" s="27"/>
    </row>
    <row r="362" spans="2:3" ht="15.5" thickTop="1" thickBot="1" x14ac:dyDescent="0.4">
      <c r="B362" s="26"/>
      <c r="C362" s="27"/>
    </row>
    <row r="363" spans="2:3" ht="15.5" thickTop="1" thickBot="1" x14ac:dyDescent="0.4">
      <c r="B363" s="26"/>
      <c r="C363" s="27"/>
    </row>
    <row r="364" spans="2:3" ht="15.5" thickTop="1" thickBot="1" x14ac:dyDescent="0.4">
      <c r="B364" s="26"/>
      <c r="C364" s="27"/>
    </row>
    <row r="365" spans="2:3" ht="15.5" thickTop="1" thickBot="1" x14ac:dyDescent="0.4">
      <c r="B365" s="26"/>
      <c r="C365" s="27"/>
    </row>
    <row r="366" spans="2:3" ht="15.5" thickTop="1" thickBot="1" x14ac:dyDescent="0.4">
      <c r="B366" s="26"/>
      <c r="C366" s="27"/>
    </row>
    <row r="367" spans="2:3" ht="15.5" thickTop="1" thickBot="1" x14ac:dyDescent="0.4">
      <c r="B367" s="26"/>
      <c r="C367" s="27"/>
    </row>
    <row r="368" spans="2:3" ht="15.5" thickTop="1" thickBot="1" x14ac:dyDescent="0.4">
      <c r="B368" s="26"/>
      <c r="C368" s="27"/>
    </row>
    <row r="369" spans="2:3" ht="15.5" thickTop="1" thickBot="1" x14ac:dyDescent="0.4">
      <c r="B369" s="26"/>
      <c r="C369" s="27"/>
    </row>
    <row r="370" spans="2:3" ht="15.5" thickTop="1" thickBot="1" x14ac:dyDescent="0.4">
      <c r="B370" s="26"/>
      <c r="C370" s="27"/>
    </row>
    <row r="371" spans="2:3" ht="15.5" thickTop="1" thickBot="1" x14ac:dyDescent="0.4">
      <c r="B371" s="26"/>
      <c r="C371" s="27"/>
    </row>
    <row r="372" spans="2:3" ht="15.5" thickTop="1" thickBot="1" x14ac:dyDescent="0.4">
      <c r="B372" s="26"/>
      <c r="C372" s="27"/>
    </row>
    <row r="373" spans="2:3" ht="15.5" thickTop="1" thickBot="1" x14ac:dyDescent="0.4">
      <c r="B373" s="26"/>
      <c r="C373" s="27"/>
    </row>
    <row r="374" spans="2:3" ht="15.5" thickTop="1" thickBot="1" x14ac:dyDescent="0.4">
      <c r="B374" s="26"/>
      <c r="C374" s="27"/>
    </row>
    <row r="375" spans="2:3" ht="15.5" thickTop="1" thickBot="1" x14ac:dyDescent="0.4">
      <c r="B375" s="26"/>
      <c r="C375" s="27"/>
    </row>
    <row r="376" spans="2:3" ht="15.5" thickTop="1" thickBot="1" x14ac:dyDescent="0.4">
      <c r="B376" s="26"/>
      <c r="C376" s="27"/>
    </row>
    <row r="377" spans="2:3" ht="15.5" thickTop="1" thickBot="1" x14ac:dyDescent="0.4">
      <c r="B377" s="26"/>
      <c r="C377" s="27"/>
    </row>
    <row r="378" spans="2:3" ht="15.5" thickTop="1" thickBot="1" x14ac:dyDescent="0.4">
      <c r="B378" s="26"/>
      <c r="C378" s="27"/>
    </row>
    <row r="379" spans="2:3" ht="15.5" thickTop="1" thickBot="1" x14ac:dyDescent="0.4">
      <c r="B379" s="26"/>
      <c r="C379" s="27"/>
    </row>
    <row r="380" spans="2:3" ht="15.5" thickTop="1" thickBot="1" x14ac:dyDescent="0.4">
      <c r="B380" s="26"/>
      <c r="C380" s="27"/>
    </row>
    <row r="381" spans="2:3" ht="15.5" thickTop="1" thickBot="1" x14ac:dyDescent="0.4">
      <c r="B381" s="26"/>
      <c r="C381" s="27"/>
    </row>
    <row r="382" spans="2:3" ht="15.5" thickTop="1" thickBot="1" x14ac:dyDescent="0.4">
      <c r="B382" s="26"/>
      <c r="C382" s="27"/>
    </row>
    <row r="383" spans="2:3" ht="15.5" thickTop="1" thickBot="1" x14ac:dyDescent="0.4">
      <c r="B383" s="26"/>
      <c r="C383" s="27"/>
    </row>
    <row r="384" spans="2:3" ht="15.5" thickTop="1" thickBot="1" x14ac:dyDescent="0.4">
      <c r="B384" s="26"/>
      <c r="C384" s="27"/>
    </row>
    <row r="385" spans="2:3" ht="15.5" thickTop="1" thickBot="1" x14ac:dyDescent="0.4">
      <c r="B385" s="26"/>
      <c r="C385" s="27"/>
    </row>
    <row r="386" spans="2:3" ht="15.5" thickTop="1" thickBot="1" x14ac:dyDescent="0.4">
      <c r="B386" s="26"/>
      <c r="C386" s="27"/>
    </row>
    <row r="387" spans="2:3" ht="15.5" thickTop="1" thickBot="1" x14ac:dyDescent="0.4">
      <c r="B387" s="26"/>
      <c r="C387" s="27"/>
    </row>
    <row r="388" spans="2:3" ht="15.5" thickTop="1" thickBot="1" x14ac:dyDescent="0.4">
      <c r="B388" s="26"/>
      <c r="C388" s="27"/>
    </row>
    <row r="389" spans="2:3" ht="15.5" thickTop="1" thickBot="1" x14ac:dyDescent="0.4">
      <c r="B389" s="26"/>
      <c r="C389" s="27"/>
    </row>
    <row r="390" spans="2:3" ht="15.5" thickTop="1" thickBot="1" x14ac:dyDescent="0.4">
      <c r="B390" s="26"/>
      <c r="C390" s="27"/>
    </row>
    <row r="391" spans="2:3" ht="15.5" thickTop="1" thickBot="1" x14ac:dyDescent="0.4">
      <c r="B391" s="26"/>
      <c r="C391" s="27"/>
    </row>
    <row r="392" spans="2:3" ht="15.5" thickTop="1" thickBot="1" x14ac:dyDescent="0.4">
      <c r="B392" s="26"/>
      <c r="C392" s="27"/>
    </row>
    <row r="393" spans="2:3" ht="15.5" thickTop="1" thickBot="1" x14ac:dyDescent="0.4">
      <c r="B393" s="26"/>
      <c r="C393" s="27"/>
    </row>
    <row r="394" spans="2:3" ht="15.5" thickTop="1" thickBot="1" x14ac:dyDescent="0.4">
      <c r="B394" s="26"/>
      <c r="C394" s="27"/>
    </row>
    <row r="395" spans="2:3" ht="15.5" thickTop="1" thickBot="1" x14ac:dyDescent="0.4">
      <c r="B395" s="26"/>
      <c r="C395" s="27"/>
    </row>
    <row r="396" spans="2:3" ht="15.5" thickTop="1" thickBot="1" x14ac:dyDescent="0.4">
      <c r="B396" s="26"/>
      <c r="C396" s="27"/>
    </row>
    <row r="397" spans="2:3" ht="15.5" thickTop="1" thickBot="1" x14ac:dyDescent="0.4">
      <c r="B397" s="26"/>
      <c r="C397" s="27"/>
    </row>
    <row r="398" spans="2:3" ht="15.5" thickTop="1" thickBot="1" x14ac:dyDescent="0.4">
      <c r="B398" s="26"/>
      <c r="C398" s="27"/>
    </row>
    <row r="399" spans="2:3" ht="15.5" thickTop="1" thickBot="1" x14ac:dyDescent="0.4">
      <c r="B399" s="26"/>
      <c r="C399" s="27"/>
    </row>
    <row r="400" spans="2:3" ht="15.5" thickTop="1" thickBot="1" x14ac:dyDescent="0.4">
      <c r="B400" s="26"/>
      <c r="C400" s="27"/>
    </row>
    <row r="401" spans="2:3" ht="15.5" thickTop="1" thickBot="1" x14ac:dyDescent="0.4">
      <c r="B401" s="26"/>
      <c r="C401" s="27"/>
    </row>
    <row r="402" spans="2:3" ht="15.5" thickTop="1" thickBot="1" x14ac:dyDescent="0.4">
      <c r="B402" s="26"/>
      <c r="C402" s="27"/>
    </row>
    <row r="403" spans="2:3" ht="15.5" thickTop="1" thickBot="1" x14ac:dyDescent="0.4">
      <c r="B403" s="26"/>
      <c r="C403" s="27"/>
    </row>
    <row r="404" spans="2:3" ht="15.5" thickTop="1" thickBot="1" x14ac:dyDescent="0.4">
      <c r="B404" s="26"/>
      <c r="C404" s="27"/>
    </row>
    <row r="405" spans="2:3" ht="15.5" thickTop="1" thickBot="1" x14ac:dyDescent="0.4">
      <c r="B405" s="26"/>
      <c r="C405" s="27"/>
    </row>
    <row r="406" spans="2:3" ht="15.5" thickTop="1" thickBot="1" x14ac:dyDescent="0.4">
      <c r="B406" s="26"/>
      <c r="C406" s="27"/>
    </row>
    <row r="407" spans="2:3" ht="15.5" thickTop="1" thickBot="1" x14ac:dyDescent="0.4">
      <c r="B407" s="26"/>
      <c r="C407" s="27"/>
    </row>
    <row r="408" spans="2:3" ht="15.5" thickTop="1" thickBot="1" x14ac:dyDescent="0.4">
      <c r="B408" s="26"/>
      <c r="C408" s="27"/>
    </row>
    <row r="409" spans="2:3" ht="15.5" thickTop="1" thickBot="1" x14ac:dyDescent="0.4">
      <c r="B409" s="26"/>
      <c r="C409" s="27"/>
    </row>
    <row r="410" spans="2:3" ht="15.5" thickTop="1" thickBot="1" x14ac:dyDescent="0.4">
      <c r="B410" s="26"/>
      <c r="C410" s="27"/>
    </row>
    <row r="411" spans="2:3" ht="15.5" thickTop="1" thickBot="1" x14ac:dyDescent="0.4">
      <c r="B411" s="26"/>
      <c r="C411" s="27"/>
    </row>
    <row r="412" spans="2:3" ht="15.5" thickTop="1" thickBot="1" x14ac:dyDescent="0.4">
      <c r="B412" s="26"/>
      <c r="C412" s="27"/>
    </row>
    <row r="413" spans="2:3" ht="15.5" thickTop="1" thickBot="1" x14ac:dyDescent="0.4">
      <c r="B413" s="26"/>
      <c r="C413" s="27"/>
    </row>
    <row r="414" spans="2:3" ht="15.5" thickTop="1" thickBot="1" x14ac:dyDescent="0.4">
      <c r="B414" s="26"/>
      <c r="C414" s="27"/>
    </row>
    <row r="415" spans="2:3" ht="15.5" thickTop="1" thickBot="1" x14ac:dyDescent="0.4">
      <c r="B415" s="26"/>
      <c r="C415" s="27"/>
    </row>
    <row r="416" spans="2:3" ht="15.5" thickTop="1" thickBot="1" x14ac:dyDescent="0.4">
      <c r="B416" s="26"/>
      <c r="C416" s="27"/>
    </row>
    <row r="417" spans="2:3" ht="15.5" thickTop="1" thickBot="1" x14ac:dyDescent="0.4">
      <c r="B417" s="26"/>
      <c r="C417" s="27"/>
    </row>
    <row r="418" spans="2:3" ht="15.5" thickTop="1" thickBot="1" x14ac:dyDescent="0.4">
      <c r="B418" s="26"/>
      <c r="C418" s="27"/>
    </row>
    <row r="419" spans="2:3" ht="15.5" thickTop="1" thickBot="1" x14ac:dyDescent="0.4">
      <c r="B419" s="26"/>
      <c r="C419" s="27"/>
    </row>
    <row r="420" spans="2:3" ht="15.5" thickTop="1" thickBot="1" x14ac:dyDescent="0.4">
      <c r="B420" s="26"/>
      <c r="C420" s="27"/>
    </row>
    <row r="421" spans="2:3" ht="15.5" thickTop="1" thickBot="1" x14ac:dyDescent="0.4">
      <c r="B421" s="26"/>
      <c r="C421" s="27"/>
    </row>
    <row r="422" spans="2:3" ht="15.5" thickTop="1" thickBot="1" x14ac:dyDescent="0.4">
      <c r="B422" s="26"/>
      <c r="C422" s="27"/>
    </row>
    <row r="423" spans="2:3" ht="15.5" thickTop="1" thickBot="1" x14ac:dyDescent="0.4">
      <c r="B423" s="26"/>
      <c r="C423" s="27"/>
    </row>
    <row r="424" spans="2:3" ht="15.5" thickTop="1" thickBot="1" x14ac:dyDescent="0.4">
      <c r="B424" s="26"/>
      <c r="C424" s="27"/>
    </row>
    <row r="425" spans="2:3" ht="15.5" thickTop="1" thickBot="1" x14ac:dyDescent="0.4">
      <c r="B425" s="26"/>
      <c r="C425" s="27"/>
    </row>
    <row r="426" spans="2:3" ht="15.5" thickTop="1" thickBot="1" x14ac:dyDescent="0.4">
      <c r="B426" s="26"/>
      <c r="C426" s="27"/>
    </row>
    <row r="427" spans="2:3" ht="15.5" thickTop="1" thickBot="1" x14ac:dyDescent="0.4">
      <c r="B427" s="26"/>
      <c r="C427" s="27"/>
    </row>
    <row r="428" spans="2:3" ht="15.5" thickTop="1" thickBot="1" x14ac:dyDescent="0.4">
      <c r="B428" s="26"/>
      <c r="C428" s="27"/>
    </row>
    <row r="429" spans="2:3" ht="15.5" thickTop="1" thickBot="1" x14ac:dyDescent="0.4">
      <c r="B429" s="26"/>
      <c r="C429" s="27"/>
    </row>
    <row r="430" spans="2:3" ht="15.5" thickTop="1" thickBot="1" x14ac:dyDescent="0.4">
      <c r="B430" s="26"/>
      <c r="C430" s="27"/>
    </row>
    <row r="431" spans="2:3" ht="15.5" thickTop="1" thickBot="1" x14ac:dyDescent="0.4">
      <c r="B431" s="26"/>
      <c r="C431" s="27"/>
    </row>
    <row r="432" spans="2:3" ht="15.5" thickTop="1" thickBot="1" x14ac:dyDescent="0.4">
      <c r="B432" s="26"/>
      <c r="C432" s="27"/>
    </row>
    <row r="433" spans="2:3" ht="15.5" thickTop="1" thickBot="1" x14ac:dyDescent="0.4">
      <c r="B433" s="26"/>
      <c r="C433" s="27"/>
    </row>
    <row r="434" spans="2:3" ht="15.5" thickTop="1" thickBot="1" x14ac:dyDescent="0.4">
      <c r="B434" s="26"/>
      <c r="C434" s="27"/>
    </row>
    <row r="435" spans="2:3" ht="15.5" thickTop="1" thickBot="1" x14ac:dyDescent="0.4">
      <c r="B435" s="26"/>
      <c r="C435" s="27"/>
    </row>
    <row r="436" spans="2:3" ht="15.5" thickTop="1" thickBot="1" x14ac:dyDescent="0.4">
      <c r="B436" s="26"/>
      <c r="C436" s="27"/>
    </row>
    <row r="437" spans="2:3" ht="15.5" thickTop="1" thickBot="1" x14ac:dyDescent="0.4">
      <c r="B437" s="26"/>
      <c r="C437" s="27"/>
    </row>
    <row r="438" spans="2:3" ht="15.5" thickTop="1" thickBot="1" x14ac:dyDescent="0.4">
      <c r="B438" s="26"/>
      <c r="C438" s="27"/>
    </row>
    <row r="439" spans="2:3" ht="15.5" thickTop="1" thickBot="1" x14ac:dyDescent="0.4">
      <c r="B439" s="26"/>
      <c r="C439" s="27"/>
    </row>
    <row r="440" spans="2:3" ht="15.5" thickTop="1" thickBot="1" x14ac:dyDescent="0.4">
      <c r="B440" s="26"/>
      <c r="C440" s="27"/>
    </row>
    <row r="441" spans="2:3" ht="15.5" thickTop="1" thickBot="1" x14ac:dyDescent="0.4">
      <c r="B441" s="26"/>
      <c r="C441" s="27"/>
    </row>
    <row r="442" spans="2:3" ht="15.5" thickTop="1" thickBot="1" x14ac:dyDescent="0.4">
      <c r="B442" s="26"/>
      <c r="C442" s="27"/>
    </row>
    <row r="443" spans="2:3" ht="15.5" thickTop="1" thickBot="1" x14ac:dyDescent="0.4">
      <c r="B443" s="26"/>
      <c r="C443" s="27"/>
    </row>
    <row r="444" spans="2:3" ht="15.5" thickTop="1" thickBot="1" x14ac:dyDescent="0.4">
      <c r="B444" s="26"/>
      <c r="C444" s="27"/>
    </row>
    <row r="445" spans="2:3" ht="15.5" thickTop="1" thickBot="1" x14ac:dyDescent="0.4">
      <c r="B445" s="26"/>
      <c r="C445" s="27"/>
    </row>
    <row r="446" spans="2:3" ht="15.5" thickTop="1" thickBot="1" x14ac:dyDescent="0.4">
      <c r="B446" s="26"/>
      <c r="C446" s="27"/>
    </row>
    <row r="447" spans="2:3" ht="15.5" thickTop="1" thickBot="1" x14ac:dyDescent="0.4">
      <c r="B447" s="26"/>
      <c r="C447" s="27"/>
    </row>
    <row r="448" spans="2:3" ht="15.5" thickTop="1" thickBot="1" x14ac:dyDescent="0.4">
      <c r="B448" s="26"/>
      <c r="C448" s="27"/>
    </row>
    <row r="449" spans="2:3" ht="15.5" thickTop="1" thickBot="1" x14ac:dyDescent="0.4">
      <c r="B449" s="26"/>
      <c r="C449" s="27"/>
    </row>
    <row r="450" spans="2:3" ht="15.5" thickTop="1" thickBot="1" x14ac:dyDescent="0.4">
      <c r="B450" s="26"/>
      <c r="C450" s="27"/>
    </row>
    <row r="451" spans="2:3" ht="15.5" thickTop="1" thickBot="1" x14ac:dyDescent="0.4">
      <c r="B451" s="26"/>
      <c r="C451" s="27"/>
    </row>
    <row r="452" spans="2:3" ht="15.5" thickTop="1" thickBot="1" x14ac:dyDescent="0.4">
      <c r="B452" s="26"/>
      <c r="C452" s="27"/>
    </row>
    <row r="453" spans="2:3" ht="15.5" thickTop="1" thickBot="1" x14ac:dyDescent="0.4">
      <c r="B453" s="26"/>
      <c r="C453" s="27"/>
    </row>
    <row r="454" spans="2:3" ht="15.5" thickTop="1" thickBot="1" x14ac:dyDescent="0.4">
      <c r="B454" s="26"/>
      <c r="C454" s="27"/>
    </row>
    <row r="455" spans="2:3" ht="15.5" thickTop="1" thickBot="1" x14ac:dyDescent="0.4">
      <c r="B455" s="26"/>
      <c r="C455" s="27"/>
    </row>
    <row r="456" spans="2:3" ht="15.5" thickTop="1" thickBot="1" x14ac:dyDescent="0.4">
      <c r="B456" s="26"/>
      <c r="C456" s="27"/>
    </row>
    <row r="457" spans="2:3" ht="15.5" thickTop="1" thickBot="1" x14ac:dyDescent="0.4">
      <c r="B457" s="26"/>
      <c r="C457" s="27"/>
    </row>
    <row r="458" spans="2:3" ht="15.5" thickTop="1" thickBot="1" x14ac:dyDescent="0.4">
      <c r="B458" s="26"/>
      <c r="C458" s="27"/>
    </row>
    <row r="459" spans="2:3" ht="15.5" thickTop="1" thickBot="1" x14ac:dyDescent="0.4">
      <c r="B459" s="26"/>
      <c r="C459" s="27"/>
    </row>
    <row r="460" spans="2:3" ht="15.5" thickTop="1" thickBot="1" x14ac:dyDescent="0.4">
      <c r="B460" s="26"/>
      <c r="C460" s="27"/>
    </row>
    <row r="461" spans="2:3" ht="15.5" thickTop="1" thickBot="1" x14ac:dyDescent="0.4">
      <c r="B461" s="26"/>
      <c r="C461" s="27"/>
    </row>
    <row r="462" spans="2:3" ht="15.5" thickTop="1" thickBot="1" x14ac:dyDescent="0.4">
      <c r="B462" s="26"/>
      <c r="C462" s="27"/>
    </row>
    <row r="463" spans="2:3" ht="15.5" thickTop="1" thickBot="1" x14ac:dyDescent="0.4">
      <c r="B463" s="26"/>
      <c r="C463" s="27"/>
    </row>
    <row r="464" spans="2:3" ht="15.5" thickTop="1" thickBot="1" x14ac:dyDescent="0.4">
      <c r="B464" s="26"/>
      <c r="C464" s="27"/>
    </row>
    <row r="465" spans="2:3" ht="15.5" thickTop="1" thickBot="1" x14ac:dyDescent="0.4">
      <c r="B465" s="26"/>
      <c r="C465" s="27"/>
    </row>
    <row r="466" spans="2:3" ht="15.5" thickTop="1" thickBot="1" x14ac:dyDescent="0.4">
      <c r="B466" s="26"/>
      <c r="C466" s="27"/>
    </row>
    <row r="467" spans="2:3" ht="15.5" thickTop="1" thickBot="1" x14ac:dyDescent="0.4">
      <c r="B467" s="26"/>
      <c r="C467" s="27"/>
    </row>
    <row r="468" spans="2:3" ht="15.5" thickTop="1" thickBot="1" x14ac:dyDescent="0.4">
      <c r="B468" s="26"/>
      <c r="C468" s="27"/>
    </row>
    <row r="469" spans="2:3" ht="15.5" thickTop="1" thickBot="1" x14ac:dyDescent="0.4">
      <c r="B469" s="26"/>
      <c r="C469" s="27"/>
    </row>
    <row r="470" spans="2:3" ht="15.5" thickTop="1" thickBot="1" x14ac:dyDescent="0.4">
      <c r="B470" s="26"/>
      <c r="C470" s="27"/>
    </row>
    <row r="471" spans="2:3" ht="15.5" thickTop="1" thickBot="1" x14ac:dyDescent="0.4">
      <c r="B471" s="26"/>
      <c r="C471" s="27"/>
    </row>
    <row r="472" spans="2:3" ht="15.5" thickTop="1" thickBot="1" x14ac:dyDescent="0.4">
      <c r="B472" s="26"/>
      <c r="C472" s="27"/>
    </row>
    <row r="473" spans="2:3" ht="15.5" thickTop="1" thickBot="1" x14ac:dyDescent="0.4">
      <c r="B473" s="26"/>
      <c r="C473" s="27"/>
    </row>
    <row r="474" spans="2:3" ht="15.5" thickTop="1" thickBot="1" x14ac:dyDescent="0.4">
      <c r="B474" s="26"/>
      <c r="C474" s="27"/>
    </row>
    <row r="475" spans="2:3" ht="15.5" thickTop="1" thickBot="1" x14ac:dyDescent="0.4">
      <c r="B475" s="26"/>
      <c r="C475" s="27"/>
    </row>
    <row r="476" spans="2:3" ht="15.5" thickTop="1" thickBot="1" x14ac:dyDescent="0.4">
      <c r="B476" s="26"/>
      <c r="C476" s="27"/>
    </row>
    <row r="477" spans="2:3" ht="15.5" thickTop="1" thickBot="1" x14ac:dyDescent="0.4">
      <c r="B477" s="26"/>
      <c r="C477" s="27"/>
    </row>
    <row r="478" spans="2:3" ht="15.5" thickTop="1" thickBot="1" x14ac:dyDescent="0.4">
      <c r="B478" s="26"/>
      <c r="C478" s="27"/>
    </row>
    <row r="479" spans="2:3" ht="15.5" thickTop="1" thickBot="1" x14ac:dyDescent="0.4">
      <c r="B479" s="26"/>
      <c r="C479" s="27"/>
    </row>
    <row r="480" spans="2:3" ht="15.5" thickTop="1" thickBot="1" x14ac:dyDescent="0.4">
      <c r="B480" s="26"/>
      <c r="C480" s="27"/>
    </row>
    <row r="481" spans="2:3" ht="15.5" thickTop="1" thickBot="1" x14ac:dyDescent="0.4">
      <c r="B481" s="26"/>
      <c r="C481" s="27"/>
    </row>
    <row r="482" spans="2:3" ht="15.5" thickTop="1" thickBot="1" x14ac:dyDescent="0.4">
      <c r="B482" s="26"/>
      <c r="C482" s="27"/>
    </row>
    <row r="483" spans="2:3" ht="15.5" thickTop="1" thickBot="1" x14ac:dyDescent="0.4">
      <c r="B483" s="26"/>
      <c r="C483" s="27"/>
    </row>
    <row r="484" spans="2:3" ht="15.5" thickTop="1" thickBot="1" x14ac:dyDescent="0.4">
      <c r="B484" s="26"/>
      <c r="C484" s="27"/>
    </row>
    <row r="485" spans="2:3" ht="15.5" thickTop="1" thickBot="1" x14ac:dyDescent="0.4">
      <c r="B485" s="26"/>
      <c r="C485" s="27"/>
    </row>
    <row r="486" spans="2:3" ht="15.5" thickTop="1" thickBot="1" x14ac:dyDescent="0.4">
      <c r="B486" s="26"/>
      <c r="C486" s="27"/>
    </row>
    <row r="487" spans="2:3" ht="15.5" thickTop="1" thickBot="1" x14ac:dyDescent="0.4">
      <c r="B487" s="26"/>
      <c r="C487" s="27"/>
    </row>
    <row r="488" spans="2:3" ht="15.5" thickTop="1" thickBot="1" x14ac:dyDescent="0.4">
      <c r="B488" s="26"/>
      <c r="C488" s="27"/>
    </row>
    <row r="489" spans="2:3" ht="15.5" thickTop="1" thickBot="1" x14ac:dyDescent="0.4">
      <c r="B489" s="26"/>
      <c r="C489" s="27"/>
    </row>
    <row r="490" spans="2:3" ht="15.5" thickTop="1" thickBot="1" x14ac:dyDescent="0.4">
      <c r="B490" s="26"/>
      <c r="C490" s="27"/>
    </row>
    <row r="491" spans="2:3" ht="15.5" thickTop="1" thickBot="1" x14ac:dyDescent="0.4">
      <c r="B491" s="26"/>
      <c r="C491" s="27"/>
    </row>
    <row r="492" spans="2:3" ht="15.5" thickTop="1" thickBot="1" x14ac:dyDescent="0.4">
      <c r="B492" s="26"/>
      <c r="C492" s="27"/>
    </row>
    <row r="493" spans="2:3" ht="15.5" thickTop="1" thickBot="1" x14ac:dyDescent="0.4">
      <c r="B493" s="26"/>
      <c r="C493" s="27"/>
    </row>
    <row r="494" spans="2:3" ht="15.5" thickTop="1" thickBot="1" x14ac:dyDescent="0.4">
      <c r="B494" s="26"/>
      <c r="C494" s="27"/>
    </row>
    <row r="495" spans="2:3" ht="15.5" thickTop="1" thickBot="1" x14ac:dyDescent="0.4">
      <c r="B495" s="26"/>
      <c r="C495" s="27"/>
    </row>
    <row r="496" spans="2:3" ht="15.5" thickTop="1" thickBot="1" x14ac:dyDescent="0.4">
      <c r="B496" s="26"/>
      <c r="C496" s="27"/>
    </row>
    <row r="497" spans="2:3" ht="15.5" thickTop="1" thickBot="1" x14ac:dyDescent="0.4">
      <c r="B497" s="26"/>
      <c r="C497" s="27"/>
    </row>
    <row r="498" spans="2:3" ht="15.5" thickTop="1" thickBot="1" x14ac:dyDescent="0.4">
      <c r="B498" s="26"/>
      <c r="C498" s="27"/>
    </row>
    <row r="499" spans="2:3" ht="15.5" thickTop="1" thickBot="1" x14ac:dyDescent="0.4">
      <c r="B499" s="26"/>
      <c r="C499" s="27"/>
    </row>
    <row r="500" spans="2:3" ht="15.5" thickTop="1" thickBot="1" x14ac:dyDescent="0.4">
      <c r="B500" s="26"/>
      <c r="C500" s="27"/>
    </row>
    <row r="501" spans="2:3" ht="15.5" thickTop="1" thickBot="1" x14ac:dyDescent="0.4">
      <c r="B501" s="26"/>
      <c r="C501" s="27"/>
    </row>
    <row r="502" spans="2:3" ht="15.5" thickTop="1" thickBot="1" x14ac:dyDescent="0.4">
      <c r="B502" s="26"/>
      <c r="C502" s="27"/>
    </row>
    <row r="503" spans="2:3" ht="15.5" thickTop="1" thickBot="1" x14ac:dyDescent="0.4">
      <c r="B503" s="26"/>
      <c r="C503" s="27"/>
    </row>
    <row r="504" spans="2:3" ht="15.5" thickTop="1" thickBot="1" x14ac:dyDescent="0.4">
      <c r="B504" s="26"/>
      <c r="C504" s="27"/>
    </row>
    <row r="505" spans="2:3" ht="15.5" thickTop="1" thickBot="1" x14ac:dyDescent="0.4">
      <c r="B505" s="26"/>
      <c r="C505" s="27"/>
    </row>
    <row r="506" spans="2:3" ht="15.5" thickTop="1" thickBot="1" x14ac:dyDescent="0.4">
      <c r="B506" s="26"/>
      <c r="C506" s="27"/>
    </row>
    <row r="507" spans="2:3" ht="15.5" thickTop="1" thickBot="1" x14ac:dyDescent="0.4">
      <c r="B507" s="26"/>
      <c r="C507" s="27"/>
    </row>
    <row r="508" spans="2:3" ht="15.5" thickTop="1" thickBot="1" x14ac:dyDescent="0.4">
      <c r="B508" s="26"/>
      <c r="C508" s="27"/>
    </row>
    <row r="509" spans="2:3" ht="15.5" thickTop="1" thickBot="1" x14ac:dyDescent="0.4">
      <c r="B509" s="26"/>
      <c r="C509" s="27"/>
    </row>
    <row r="510" spans="2:3" ht="15.5" thickTop="1" thickBot="1" x14ac:dyDescent="0.4">
      <c r="B510" s="26"/>
      <c r="C510" s="27"/>
    </row>
    <row r="511" spans="2:3" ht="15.5" thickTop="1" thickBot="1" x14ac:dyDescent="0.4">
      <c r="B511" s="26"/>
      <c r="C511" s="27"/>
    </row>
    <row r="512" spans="2:3" ht="15.5" thickTop="1" thickBot="1" x14ac:dyDescent="0.4">
      <c r="B512" s="26"/>
      <c r="C512" s="27"/>
    </row>
    <row r="513" spans="2:3" ht="15.5" thickTop="1" thickBot="1" x14ac:dyDescent="0.4">
      <c r="B513" s="26"/>
      <c r="C513" s="27"/>
    </row>
    <row r="514" spans="2:3" ht="15.5" thickTop="1" thickBot="1" x14ac:dyDescent="0.4">
      <c r="B514" s="26"/>
      <c r="C514" s="27"/>
    </row>
    <row r="515" spans="2:3" ht="15.5" thickTop="1" thickBot="1" x14ac:dyDescent="0.4">
      <c r="B515" s="26"/>
      <c r="C515" s="27"/>
    </row>
    <row r="516" spans="2:3" ht="15.5" thickTop="1" thickBot="1" x14ac:dyDescent="0.4">
      <c r="B516" s="26"/>
      <c r="C516" s="27"/>
    </row>
    <row r="517" spans="2:3" ht="15.5" thickTop="1" thickBot="1" x14ac:dyDescent="0.4">
      <c r="B517" s="26"/>
      <c r="C517" s="27"/>
    </row>
    <row r="518" spans="2:3" ht="15.5" thickTop="1" thickBot="1" x14ac:dyDescent="0.4">
      <c r="B518" s="26"/>
      <c r="C518" s="27"/>
    </row>
    <row r="519" spans="2:3" ht="15.5" thickTop="1" thickBot="1" x14ac:dyDescent="0.4">
      <c r="B519" s="26"/>
      <c r="C519" s="27"/>
    </row>
    <row r="520" spans="2:3" ht="15.5" thickTop="1" thickBot="1" x14ac:dyDescent="0.4">
      <c r="B520" s="26"/>
      <c r="C520" s="27"/>
    </row>
    <row r="521" spans="2:3" ht="15.5" thickTop="1" thickBot="1" x14ac:dyDescent="0.4">
      <c r="B521" s="26"/>
      <c r="C521" s="27"/>
    </row>
    <row r="522" spans="2:3" ht="15.5" thickTop="1" thickBot="1" x14ac:dyDescent="0.4">
      <c r="B522" s="26"/>
      <c r="C522" s="27"/>
    </row>
    <row r="523" spans="2:3" ht="15.5" thickTop="1" thickBot="1" x14ac:dyDescent="0.4">
      <c r="B523" s="26"/>
      <c r="C523" s="27"/>
    </row>
    <row r="524" spans="2:3" ht="15.5" thickTop="1" thickBot="1" x14ac:dyDescent="0.4">
      <c r="B524" s="26"/>
      <c r="C524" s="27"/>
    </row>
    <row r="525" spans="2:3" ht="15.5" thickTop="1" thickBot="1" x14ac:dyDescent="0.4">
      <c r="B525" s="26"/>
      <c r="C525" s="27"/>
    </row>
    <row r="526" spans="2:3" ht="15.5" thickTop="1" thickBot="1" x14ac:dyDescent="0.4">
      <c r="B526" s="26"/>
      <c r="C526" s="27"/>
    </row>
    <row r="527" spans="2:3" ht="15.5" thickTop="1" thickBot="1" x14ac:dyDescent="0.4">
      <c r="B527" s="26"/>
      <c r="C527" s="27"/>
    </row>
    <row r="528" spans="2:3" ht="15.5" thickTop="1" thickBot="1" x14ac:dyDescent="0.4">
      <c r="B528" s="26"/>
      <c r="C528" s="27"/>
    </row>
    <row r="529" spans="2:3" ht="15.5" thickTop="1" thickBot="1" x14ac:dyDescent="0.4">
      <c r="B529" s="26"/>
      <c r="C529" s="27"/>
    </row>
    <row r="530" spans="2:3" ht="15.5" thickTop="1" thickBot="1" x14ac:dyDescent="0.4">
      <c r="B530" s="26"/>
      <c r="C530" s="27"/>
    </row>
    <row r="531" spans="2:3" ht="15.5" thickTop="1" thickBot="1" x14ac:dyDescent="0.4">
      <c r="B531" s="26"/>
      <c r="C531" s="27"/>
    </row>
    <row r="532" spans="2:3" ht="15.5" thickTop="1" thickBot="1" x14ac:dyDescent="0.4">
      <c r="B532" s="26"/>
      <c r="C532" s="27"/>
    </row>
    <row r="533" spans="2:3" ht="15.5" thickTop="1" thickBot="1" x14ac:dyDescent="0.4">
      <c r="B533" s="26"/>
      <c r="C533" s="27"/>
    </row>
    <row r="534" spans="2:3" ht="15.5" thickTop="1" thickBot="1" x14ac:dyDescent="0.4">
      <c r="B534" s="26"/>
      <c r="C534" s="27"/>
    </row>
    <row r="535" spans="2:3" ht="15.5" thickTop="1" thickBot="1" x14ac:dyDescent="0.4">
      <c r="B535" s="26"/>
      <c r="C535" s="27"/>
    </row>
    <row r="536" spans="2:3" ht="15.5" thickTop="1" thickBot="1" x14ac:dyDescent="0.4">
      <c r="B536" s="26"/>
      <c r="C536" s="27"/>
    </row>
    <row r="537" spans="2:3" ht="15.5" thickTop="1" thickBot="1" x14ac:dyDescent="0.4">
      <c r="B537" s="26"/>
      <c r="C537" s="27"/>
    </row>
    <row r="538" spans="2:3" ht="15.5" thickTop="1" thickBot="1" x14ac:dyDescent="0.4">
      <c r="B538" s="26"/>
      <c r="C538" s="27"/>
    </row>
    <row r="539" spans="2:3" ht="15.5" thickTop="1" thickBot="1" x14ac:dyDescent="0.4">
      <c r="B539" s="26"/>
      <c r="C539" s="27"/>
    </row>
    <row r="540" spans="2:3" ht="15.5" thickTop="1" thickBot="1" x14ac:dyDescent="0.4">
      <c r="B540" s="26"/>
      <c r="C540" s="27"/>
    </row>
    <row r="541" spans="2:3" ht="15.5" thickTop="1" thickBot="1" x14ac:dyDescent="0.4">
      <c r="B541" s="26"/>
      <c r="C541" s="27"/>
    </row>
    <row r="542" spans="2:3" ht="15.5" thickTop="1" thickBot="1" x14ac:dyDescent="0.4">
      <c r="B542" s="26"/>
      <c r="C542" s="27"/>
    </row>
    <row r="543" spans="2:3" ht="15.5" thickTop="1" thickBot="1" x14ac:dyDescent="0.4">
      <c r="B543" s="26"/>
      <c r="C543" s="27"/>
    </row>
    <row r="544" spans="2:3" ht="15.5" thickTop="1" thickBot="1" x14ac:dyDescent="0.4">
      <c r="B544" s="26"/>
      <c r="C544" s="27"/>
    </row>
    <row r="545" spans="2:3" ht="15.5" thickTop="1" thickBot="1" x14ac:dyDescent="0.4">
      <c r="B545" s="26"/>
      <c r="C545" s="27"/>
    </row>
    <row r="546" spans="2:3" ht="15.5" thickTop="1" thickBot="1" x14ac:dyDescent="0.4">
      <c r="B546" s="26"/>
      <c r="C546" s="27"/>
    </row>
    <row r="547" spans="2:3" ht="15.5" thickTop="1" thickBot="1" x14ac:dyDescent="0.4">
      <c r="B547" s="26"/>
      <c r="C547" s="27"/>
    </row>
    <row r="548" spans="2:3" ht="15.5" thickTop="1" thickBot="1" x14ac:dyDescent="0.4">
      <c r="B548" s="26"/>
      <c r="C548" s="27"/>
    </row>
    <row r="549" spans="2:3" ht="15.5" thickTop="1" thickBot="1" x14ac:dyDescent="0.4">
      <c r="B549" s="26"/>
      <c r="C549" s="27"/>
    </row>
    <row r="550" spans="2:3" ht="15.5" thickTop="1" thickBot="1" x14ac:dyDescent="0.4">
      <c r="B550" s="26"/>
      <c r="C550" s="27"/>
    </row>
    <row r="551" spans="2:3" ht="15.5" thickTop="1" thickBot="1" x14ac:dyDescent="0.4">
      <c r="B551" s="26"/>
      <c r="C551" s="27"/>
    </row>
    <row r="552" spans="2:3" ht="15.5" thickTop="1" thickBot="1" x14ac:dyDescent="0.4">
      <c r="B552" s="26"/>
      <c r="C552" s="27"/>
    </row>
    <row r="553" spans="2:3" ht="15.5" thickTop="1" thickBot="1" x14ac:dyDescent="0.4">
      <c r="B553" s="26"/>
      <c r="C553" s="27"/>
    </row>
    <row r="554" spans="2:3" ht="15.5" thickTop="1" thickBot="1" x14ac:dyDescent="0.4">
      <c r="B554" s="26"/>
      <c r="C554" s="27"/>
    </row>
    <row r="555" spans="2:3" ht="15.5" thickTop="1" thickBot="1" x14ac:dyDescent="0.4">
      <c r="B555" s="26"/>
      <c r="C555" s="27"/>
    </row>
    <row r="556" spans="2:3" ht="15.5" thickTop="1" thickBot="1" x14ac:dyDescent="0.4">
      <c r="B556" s="26"/>
      <c r="C556" s="27"/>
    </row>
    <row r="557" spans="2:3" ht="15.5" thickTop="1" thickBot="1" x14ac:dyDescent="0.4">
      <c r="B557" s="26"/>
      <c r="C557" s="27"/>
    </row>
    <row r="558" spans="2:3" ht="15.5" thickTop="1" thickBot="1" x14ac:dyDescent="0.4">
      <c r="B558" s="26"/>
      <c r="C558" s="27"/>
    </row>
    <row r="559" spans="2:3" ht="15.5" thickTop="1" thickBot="1" x14ac:dyDescent="0.4">
      <c r="B559" s="26"/>
      <c r="C559" s="27"/>
    </row>
    <row r="560" spans="2:3" ht="15.5" thickTop="1" thickBot="1" x14ac:dyDescent="0.4">
      <c r="B560" s="26"/>
      <c r="C560" s="27"/>
    </row>
    <row r="561" spans="2:3" ht="15.5" thickTop="1" thickBot="1" x14ac:dyDescent="0.4">
      <c r="B561" s="26"/>
      <c r="C561" s="27"/>
    </row>
    <row r="562" spans="2:3" ht="15.5" thickTop="1" thickBot="1" x14ac:dyDescent="0.4">
      <c r="B562" s="26"/>
      <c r="C562" s="27"/>
    </row>
    <row r="563" spans="2:3" ht="15.5" thickTop="1" thickBot="1" x14ac:dyDescent="0.4">
      <c r="B563" s="26"/>
      <c r="C563" s="27"/>
    </row>
    <row r="564" spans="2:3" ht="15.5" thickTop="1" thickBot="1" x14ac:dyDescent="0.4">
      <c r="B564" s="26"/>
      <c r="C564" s="27"/>
    </row>
    <row r="565" spans="2:3" ht="15.5" thickTop="1" thickBot="1" x14ac:dyDescent="0.4">
      <c r="B565" s="26"/>
      <c r="C565" s="27"/>
    </row>
    <row r="566" spans="2:3" ht="15.5" thickTop="1" thickBot="1" x14ac:dyDescent="0.4">
      <c r="B566" s="26"/>
      <c r="C566" s="27"/>
    </row>
    <row r="567" spans="2:3" ht="15.5" thickTop="1" thickBot="1" x14ac:dyDescent="0.4">
      <c r="B567" s="26"/>
      <c r="C567" s="27"/>
    </row>
    <row r="568" spans="2:3" ht="15.5" thickTop="1" thickBot="1" x14ac:dyDescent="0.4">
      <c r="B568" s="26"/>
      <c r="C568" s="27"/>
    </row>
    <row r="569" spans="2:3" ht="15.5" thickTop="1" thickBot="1" x14ac:dyDescent="0.4">
      <c r="B569" s="26"/>
      <c r="C569" s="27"/>
    </row>
    <row r="570" spans="2:3" ht="15.5" thickTop="1" thickBot="1" x14ac:dyDescent="0.4">
      <c r="B570" s="26"/>
      <c r="C570" s="27"/>
    </row>
    <row r="571" spans="2:3" ht="15.5" thickTop="1" thickBot="1" x14ac:dyDescent="0.4">
      <c r="B571" s="26"/>
      <c r="C571" s="27"/>
    </row>
    <row r="572" spans="2:3" ht="15.5" thickTop="1" thickBot="1" x14ac:dyDescent="0.4">
      <c r="B572" s="26"/>
      <c r="C572" s="27"/>
    </row>
    <row r="573" spans="2:3" ht="15.5" thickTop="1" thickBot="1" x14ac:dyDescent="0.4">
      <c r="B573" s="26"/>
      <c r="C573" s="27"/>
    </row>
    <row r="574" spans="2:3" ht="15.5" thickTop="1" thickBot="1" x14ac:dyDescent="0.4">
      <c r="B574" s="26"/>
      <c r="C574" s="27"/>
    </row>
    <row r="575" spans="2:3" ht="15.5" thickTop="1" thickBot="1" x14ac:dyDescent="0.4">
      <c r="B575" s="26"/>
      <c r="C575" s="27"/>
    </row>
    <row r="576" spans="2:3" ht="15.5" thickTop="1" thickBot="1" x14ac:dyDescent="0.4">
      <c r="B576" s="26"/>
      <c r="C576" s="27"/>
    </row>
    <row r="577" spans="2:3" ht="15.5" thickTop="1" thickBot="1" x14ac:dyDescent="0.4">
      <c r="B577" s="26"/>
      <c r="C577" s="27"/>
    </row>
    <row r="578" spans="2:3" ht="15.5" thickTop="1" thickBot="1" x14ac:dyDescent="0.4">
      <c r="B578" s="26"/>
      <c r="C578" s="27"/>
    </row>
    <row r="579" spans="2:3" ht="15.5" thickTop="1" thickBot="1" x14ac:dyDescent="0.4">
      <c r="B579" s="26"/>
      <c r="C579" s="27"/>
    </row>
    <row r="580" spans="2:3" ht="15.5" thickTop="1" thickBot="1" x14ac:dyDescent="0.4">
      <c r="B580" s="26"/>
      <c r="C580" s="27"/>
    </row>
    <row r="581" spans="2:3" ht="15.5" thickTop="1" thickBot="1" x14ac:dyDescent="0.4">
      <c r="B581" s="26"/>
      <c r="C581" s="27"/>
    </row>
    <row r="582" spans="2:3" ht="15.5" thickTop="1" thickBot="1" x14ac:dyDescent="0.4">
      <c r="B582" s="26"/>
      <c r="C582" s="27"/>
    </row>
    <row r="583" spans="2:3" ht="15.5" thickTop="1" thickBot="1" x14ac:dyDescent="0.4">
      <c r="B583" s="26"/>
      <c r="C583" s="27"/>
    </row>
    <row r="584" spans="2:3" ht="15.5" thickTop="1" thickBot="1" x14ac:dyDescent="0.4">
      <c r="B584" s="26"/>
      <c r="C584" s="27"/>
    </row>
    <row r="585" spans="2:3" ht="15.5" thickTop="1" thickBot="1" x14ac:dyDescent="0.4">
      <c r="B585" s="26"/>
      <c r="C585" s="27"/>
    </row>
    <row r="586" spans="2:3" ht="15.5" thickTop="1" thickBot="1" x14ac:dyDescent="0.4">
      <c r="B586" s="26"/>
      <c r="C586" s="27"/>
    </row>
    <row r="587" spans="2:3" ht="15.5" thickTop="1" thickBot="1" x14ac:dyDescent="0.4">
      <c r="B587" s="26"/>
      <c r="C587" s="27"/>
    </row>
    <row r="588" spans="2:3" ht="15.5" thickTop="1" thickBot="1" x14ac:dyDescent="0.4">
      <c r="B588" s="26"/>
      <c r="C588" s="27"/>
    </row>
    <row r="589" spans="2:3" ht="15.5" thickTop="1" thickBot="1" x14ac:dyDescent="0.4">
      <c r="B589" s="26"/>
      <c r="C589" s="27"/>
    </row>
    <row r="590" spans="2:3" ht="15.5" thickTop="1" thickBot="1" x14ac:dyDescent="0.4">
      <c r="B590" s="26"/>
      <c r="C590" s="27"/>
    </row>
    <row r="591" spans="2:3" ht="15.5" thickTop="1" thickBot="1" x14ac:dyDescent="0.4">
      <c r="B591" s="26"/>
      <c r="C591" s="27"/>
    </row>
    <row r="592" spans="2:3" ht="15.5" thickTop="1" thickBot="1" x14ac:dyDescent="0.4">
      <c r="B592" s="26"/>
      <c r="C592" s="27"/>
    </row>
    <row r="593" spans="2:3" ht="15.5" thickTop="1" thickBot="1" x14ac:dyDescent="0.4">
      <c r="B593" s="26"/>
      <c r="C593" s="27"/>
    </row>
    <row r="594" spans="2:3" ht="15.5" thickTop="1" thickBot="1" x14ac:dyDescent="0.4">
      <c r="B594" s="26"/>
      <c r="C594" s="27"/>
    </row>
    <row r="595" spans="2:3" ht="15.5" thickTop="1" thickBot="1" x14ac:dyDescent="0.4">
      <c r="B595" s="26"/>
      <c r="C595" s="27"/>
    </row>
    <row r="596" spans="2:3" ht="15.5" thickTop="1" thickBot="1" x14ac:dyDescent="0.4">
      <c r="B596" s="26"/>
      <c r="C596" s="27"/>
    </row>
    <row r="597" spans="2:3" ht="15.5" thickTop="1" thickBot="1" x14ac:dyDescent="0.4">
      <c r="B597" s="26"/>
      <c r="C597" s="27"/>
    </row>
    <row r="598" spans="2:3" ht="15.5" thickTop="1" thickBot="1" x14ac:dyDescent="0.4">
      <c r="B598" s="26"/>
      <c r="C598" s="27"/>
    </row>
    <row r="599" spans="2:3" ht="15.5" thickTop="1" thickBot="1" x14ac:dyDescent="0.4">
      <c r="B599" s="26"/>
      <c r="C599" s="27"/>
    </row>
    <row r="600" spans="2:3" ht="15.5" thickTop="1" thickBot="1" x14ac:dyDescent="0.4">
      <c r="B600" s="26"/>
      <c r="C600" s="27"/>
    </row>
    <row r="601" spans="2:3" ht="15.5" thickTop="1" thickBot="1" x14ac:dyDescent="0.4">
      <c r="B601" s="26"/>
      <c r="C601" s="27"/>
    </row>
    <row r="602" spans="2:3" ht="15.5" thickTop="1" thickBot="1" x14ac:dyDescent="0.4">
      <c r="B602" s="26"/>
      <c r="C602" s="27"/>
    </row>
    <row r="603" spans="2:3" ht="15.5" thickTop="1" thickBot="1" x14ac:dyDescent="0.4">
      <c r="B603" s="26"/>
      <c r="C603" s="27"/>
    </row>
    <row r="604" spans="2:3" ht="15.5" thickTop="1" thickBot="1" x14ac:dyDescent="0.4">
      <c r="B604" s="26"/>
      <c r="C604" s="27"/>
    </row>
    <row r="605" spans="2:3" ht="15.5" thickTop="1" thickBot="1" x14ac:dyDescent="0.4">
      <c r="B605" s="26"/>
      <c r="C605" s="27"/>
    </row>
    <row r="606" spans="2:3" ht="15.5" thickTop="1" thickBot="1" x14ac:dyDescent="0.4">
      <c r="B606" s="26"/>
      <c r="C606" s="27"/>
    </row>
    <row r="607" spans="2:3" ht="15.5" thickTop="1" thickBot="1" x14ac:dyDescent="0.4">
      <c r="B607" s="26"/>
      <c r="C607" s="27"/>
    </row>
    <row r="608" spans="2:3" ht="15.5" thickTop="1" thickBot="1" x14ac:dyDescent="0.4">
      <c r="B608" s="26"/>
      <c r="C608" s="27"/>
    </row>
    <row r="609" spans="2:3" ht="15.5" thickTop="1" thickBot="1" x14ac:dyDescent="0.4">
      <c r="B609" s="26"/>
      <c r="C609" s="27"/>
    </row>
    <row r="610" spans="2:3" ht="15.5" thickTop="1" thickBot="1" x14ac:dyDescent="0.4">
      <c r="B610" s="26"/>
      <c r="C610" s="27"/>
    </row>
    <row r="611" spans="2:3" ht="15.5" thickTop="1" thickBot="1" x14ac:dyDescent="0.4">
      <c r="B611" s="26"/>
      <c r="C611" s="27"/>
    </row>
    <row r="612" spans="2:3" ht="15.5" thickTop="1" thickBot="1" x14ac:dyDescent="0.4">
      <c r="B612" s="26"/>
      <c r="C612" s="27"/>
    </row>
    <row r="613" spans="2:3" ht="15.5" thickTop="1" thickBot="1" x14ac:dyDescent="0.4">
      <c r="B613" s="26"/>
      <c r="C613" s="27"/>
    </row>
    <row r="614" spans="2:3" ht="15.5" thickTop="1" thickBot="1" x14ac:dyDescent="0.4">
      <c r="B614" s="26"/>
      <c r="C614" s="27"/>
    </row>
    <row r="615" spans="2:3" ht="15.5" thickTop="1" thickBot="1" x14ac:dyDescent="0.4">
      <c r="B615" s="26"/>
      <c r="C615" s="27"/>
    </row>
    <row r="616" spans="2:3" ht="15.5" thickTop="1" thickBot="1" x14ac:dyDescent="0.4">
      <c r="B616" s="26"/>
      <c r="C616" s="27"/>
    </row>
    <row r="617" spans="2:3" ht="15.5" thickTop="1" thickBot="1" x14ac:dyDescent="0.4">
      <c r="B617" s="26"/>
      <c r="C617" s="27"/>
    </row>
    <row r="618" spans="2:3" ht="15.5" thickTop="1" thickBot="1" x14ac:dyDescent="0.4">
      <c r="B618" s="26"/>
      <c r="C618" s="27"/>
    </row>
    <row r="619" spans="2:3" ht="15.5" thickTop="1" thickBot="1" x14ac:dyDescent="0.4">
      <c r="B619" s="26"/>
      <c r="C619" s="27"/>
    </row>
    <row r="620" spans="2:3" ht="15.5" thickTop="1" thickBot="1" x14ac:dyDescent="0.4">
      <c r="B620" s="26"/>
      <c r="C620" s="27"/>
    </row>
    <row r="621" spans="2:3" ht="15.5" thickTop="1" thickBot="1" x14ac:dyDescent="0.4">
      <c r="B621" s="26"/>
      <c r="C621" s="27"/>
    </row>
    <row r="622" spans="2:3" ht="15.5" thickTop="1" thickBot="1" x14ac:dyDescent="0.4">
      <c r="B622" s="26"/>
      <c r="C622" s="27"/>
    </row>
    <row r="623" spans="2:3" ht="15.5" thickTop="1" thickBot="1" x14ac:dyDescent="0.4">
      <c r="B623" s="26"/>
      <c r="C623" s="27"/>
    </row>
    <row r="624" spans="2:3" ht="15.5" thickTop="1" thickBot="1" x14ac:dyDescent="0.4">
      <c r="B624" s="26"/>
      <c r="C624" s="27"/>
    </row>
    <row r="625" spans="2:3" ht="15.5" thickTop="1" thickBot="1" x14ac:dyDescent="0.4">
      <c r="B625" s="26"/>
      <c r="C625" s="27"/>
    </row>
    <row r="626" spans="2:3" ht="15.5" thickTop="1" thickBot="1" x14ac:dyDescent="0.4">
      <c r="B626" s="26"/>
      <c r="C626" s="27"/>
    </row>
    <row r="627" spans="2:3" ht="15.5" thickTop="1" thickBot="1" x14ac:dyDescent="0.4">
      <c r="B627" s="26"/>
      <c r="C627" s="27"/>
    </row>
    <row r="628" spans="2:3" ht="15.5" thickTop="1" thickBot="1" x14ac:dyDescent="0.4">
      <c r="B628" s="26"/>
      <c r="C628" s="27"/>
    </row>
    <row r="629" spans="2:3" ht="15.5" thickTop="1" thickBot="1" x14ac:dyDescent="0.4">
      <c r="B629" s="26"/>
      <c r="C629" s="27"/>
    </row>
    <row r="630" spans="2:3" ht="15.5" thickTop="1" thickBot="1" x14ac:dyDescent="0.4">
      <c r="B630" s="26"/>
      <c r="C630" s="27"/>
    </row>
    <row r="631" spans="2:3" ht="15.5" thickTop="1" thickBot="1" x14ac:dyDescent="0.4">
      <c r="B631" s="26"/>
      <c r="C631" s="27"/>
    </row>
    <row r="632" spans="2:3" ht="15.5" thickTop="1" thickBot="1" x14ac:dyDescent="0.4">
      <c r="B632" s="26"/>
      <c r="C632" s="27"/>
    </row>
    <row r="633" spans="2:3" ht="15.5" thickTop="1" thickBot="1" x14ac:dyDescent="0.4">
      <c r="B633" s="26"/>
      <c r="C633" s="27"/>
    </row>
    <row r="634" spans="2:3" ht="15.5" thickTop="1" thickBot="1" x14ac:dyDescent="0.4">
      <c r="B634" s="26"/>
      <c r="C634" s="27"/>
    </row>
    <row r="635" spans="2:3" ht="15.5" thickTop="1" thickBot="1" x14ac:dyDescent="0.4">
      <c r="B635" s="26"/>
      <c r="C635" s="27"/>
    </row>
    <row r="636" spans="2:3" ht="15.5" thickTop="1" thickBot="1" x14ac:dyDescent="0.4">
      <c r="B636" s="26"/>
      <c r="C636" s="27"/>
    </row>
    <row r="637" spans="2:3" ht="15.5" thickTop="1" thickBot="1" x14ac:dyDescent="0.4">
      <c r="B637" s="26"/>
      <c r="C637" s="27"/>
    </row>
    <row r="638" spans="2:3" ht="15.5" thickTop="1" thickBot="1" x14ac:dyDescent="0.4">
      <c r="B638" s="26"/>
      <c r="C638" s="27"/>
    </row>
    <row r="639" spans="2:3" ht="15.5" thickTop="1" thickBot="1" x14ac:dyDescent="0.4">
      <c r="B639" s="26"/>
      <c r="C639" s="27"/>
    </row>
    <row r="640" spans="2:3" ht="15.5" thickTop="1" thickBot="1" x14ac:dyDescent="0.4">
      <c r="B640" s="26"/>
      <c r="C640" s="27"/>
    </row>
    <row r="641" spans="2:3" ht="15.5" thickTop="1" thickBot="1" x14ac:dyDescent="0.4">
      <c r="B641" s="26"/>
      <c r="C641" s="27"/>
    </row>
    <row r="642" spans="2:3" ht="15.5" thickTop="1" thickBot="1" x14ac:dyDescent="0.4">
      <c r="B642" s="26"/>
      <c r="C642" s="27"/>
    </row>
    <row r="643" spans="2:3" ht="15.5" thickTop="1" thickBot="1" x14ac:dyDescent="0.4">
      <c r="B643" s="26"/>
      <c r="C643" s="27"/>
    </row>
    <row r="644" spans="2:3" ht="15.5" thickTop="1" thickBot="1" x14ac:dyDescent="0.4">
      <c r="B644" s="26"/>
      <c r="C644" s="27"/>
    </row>
    <row r="645" spans="2:3" ht="15.5" thickTop="1" thickBot="1" x14ac:dyDescent="0.4">
      <c r="B645" s="26"/>
      <c r="C645" s="27"/>
    </row>
    <row r="646" spans="2:3" ht="15.5" thickTop="1" thickBot="1" x14ac:dyDescent="0.4">
      <c r="B646" s="26"/>
      <c r="C646" s="27"/>
    </row>
    <row r="647" spans="2:3" ht="15.5" thickTop="1" thickBot="1" x14ac:dyDescent="0.4">
      <c r="B647" s="26"/>
      <c r="C647" s="27"/>
    </row>
    <row r="648" spans="2:3" ht="15.5" thickTop="1" thickBot="1" x14ac:dyDescent="0.4">
      <c r="B648" s="26"/>
      <c r="C648" s="27"/>
    </row>
    <row r="649" spans="2:3" ht="15.5" thickTop="1" thickBot="1" x14ac:dyDescent="0.4">
      <c r="B649" s="26"/>
      <c r="C649" s="27"/>
    </row>
    <row r="650" spans="2:3" ht="15.5" thickTop="1" thickBot="1" x14ac:dyDescent="0.4">
      <c r="B650" s="26"/>
      <c r="C650" s="27"/>
    </row>
    <row r="651" spans="2:3" ht="15.5" thickTop="1" thickBot="1" x14ac:dyDescent="0.4">
      <c r="B651" s="26"/>
      <c r="C651" s="27"/>
    </row>
    <row r="652" spans="2:3" ht="15.5" thickTop="1" thickBot="1" x14ac:dyDescent="0.4">
      <c r="B652" s="26"/>
      <c r="C652" s="27"/>
    </row>
    <row r="653" spans="2:3" ht="15.5" thickTop="1" thickBot="1" x14ac:dyDescent="0.4">
      <c r="B653" s="26"/>
      <c r="C653" s="27"/>
    </row>
    <row r="654" spans="2:3" ht="15.5" thickTop="1" thickBot="1" x14ac:dyDescent="0.4">
      <c r="B654" s="26"/>
      <c r="C654" s="27"/>
    </row>
    <row r="655" spans="2:3" ht="15.5" thickTop="1" thickBot="1" x14ac:dyDescent="0.4">
      <c r="B655" s="26"/>
      <c r="C655" s="27"/>
    </row>
    <row r="656" spans="2:3" ht="15.5" thickTop="1" thickBot="1" x14ac:dyDescent="0.4">
      <c r="B656" s="26"/>
      <c r="C656" s="27"/>
    </row>
    <row r="657" spans="2:3" ht="15.5" thickTop="1" thickBot="1" x14ac:dyDescent="0.4">
      <c r="B657" s="26"/>
      <c r="C657" s="27"/>
    </row>
    <row r="658" spans="2:3" ht="15.5" thickTop="1" thickBot="1" x14ac:dyDescent="0.4">
      <c r="B658" s="26"/>
      <c r="C658" s="27"/>
    </row>
    <row r="659" spans="2:3" ht="15.5" thickTop="1" thickBot="1" x14ac:dyDescent="0.4">
      <c r="B659" s="26"/>
      <c r="C659" s="27"/>
    </row>
    <row r="660" spans="2:3" ht="15.5" thickTop="1" thickBot="1" x14ac:dyDescent="0.4">
      <c r="B660" s="26"/>
      <c r="C660" s="27"/>
    </row>
    <row r="661" spans="2:3" ht="15.5" thickTop="1" thickBot="1" x14ac:dyDescent="0.4">
      <c r="B661" s="26"/>
      <c r="C661" s="27"/>
    </row>
    <row r="662" spans="2:3" ht="15.5" thickTop="1" thickBot="1" x14ac:dyDescent="0.4">
      <c r="B662" s="26"/>
      <c r="C662" s="27"/>
    </row>
    <row r="663" spans="2:3" ht="15.5" thickTop="1" thickBot="1" x14ac:dyDescent="0.4">
      <c r="B663" s="26"/>
      <c r="C663" s="27"/>
    </row>
    <row r="664" spans="2:3" ht="15.5" thickTop="1" thickBot="1" x14ac:dyDescent="0.4">
      <c r="B664" s="26"/>
      <c r="C664" s="27"/>
    </row>
    <row r="665" spans="2:3" ht="15.5" thickTop="1" thickBot="1" x14ac:dyDescent="0.4">
      <c r="B665" s="26"/>
      <c r="C665" s="27"/>
    </row>
    <row r="666" spans="2:3" ht="15.5" thickTop="1" thickBot="1" x14ac:dyDescent="0.4">
      <c r="B666" s="26"/>
      <c r="C666" s="27"/>
    </row>
    <row r="667" spans="2:3" ht="15.5" thickTop="1" thickBot="1" x14ac:dyDescent="0.4">
      <c r="B667" s="26"/>
      <c r="C667" s="27"/>
    </row>
    <row r="668" spans="2:3" ht="15.5" thickTop="1" thickBot="1" x14ac:dyDescent="0.4">
      <c r="B668" s="26"/>
      <c r="C668" s="27"/>
    </row>
    <row r="669" spans="2:3" ht="15.5" thickTop="1" thickBot="1" x14ac:dyDescent="0.4">
      <c r="B669" s="26"/>
      <c r="C669" s="27"/>
    </row>
    <row r="670" spans="2:3" ht="15.5" thickTop="1" thickBot="1" x14ac:dyDescent="0.4">
      <c r="B670" s="26"/>
      <c r="C670" s="27"/>
    </row>
    <row r="671" spans="2:3" ht="15.5" thickTop="1" thickBot="1" x14ac:dyDescent="0.4">
      <c r="B671" s="26"/>
      <c r="C671" s="27"/>
    </row>
    <row r="672" spans="2:3" ht="15.5" thickTop="1" thickBot="1" x14ac:dyDescent="0.4">
      <c r="B672" s="26"/>
      <c r="C672" s="27"/>
    </row>
    <row r="673" spans="2:3" ht="15.5" thickTop="1" thickBot="1" x14ac:dyDescent="0.4">
      <c r="B673" s="26"/>
      <c r="C673" s="27"/>
    </row>
    <row r="674" spans="2:3" ht="15.5" thickTop="1" thickBot="1" x14ac:dyDescent="0.4">
      <c r="B674" s="26"/>
      <c r="C674" s="27"/>
    </row>
    <row r="675" spans="2:3" ht="15.5" thickTop="1" thickBot="1" x14ac:dyDescent="0.4">
      <c r="B675" s="26"/>
      <c r="C675" s="27"/>
    </row>
    <row r="676" spans="2:3" ht="15.5" thickTop="1" thickBot="1" x14ac:dyDescent="0.4">
      <c r="B676" s="26"/>
      <c r="C676" s="27"/>
    </row>
    <row r="677" spans="2:3" ht="15.5" thickTop="1" thickBot="1" x14ac:dyDescent="0.4">
      <c r="B677" s="26"/>
      <c r="C677" s="27"/>
    </row>
    <row r="678" spans="2:3" ht="15.5" thickTop="1" thickBot="1" x14ac:dyDescent="0.4">
      <c r="B678" s="26"/>
      <c r="C678" s="27"/>
    </row>
    <row r="679" spans="2:3" ht="15.5" thickTop="1" thickBot="1" x14ac:dyDescent="0.4">
      <c r="B679" s="26"/>
      <c r="C679" s="27"/>
    </row>
    <row r="680" spans="2:3" ht="15.5" thickTop="1" thickBot="1" x14ac:dyDescent="0.4">
      <c r="B680" s="26"/>
      <c r="C680" s="27"/>
    </row>
    <row r="681" spans="2:3" ht="15.5" thickTop="1" thickBot="1" x14ac:dyDescent="0.4">
      <c r="B681" s="26"/>
      <c r="C681" s="27"/>
    </row>
    <row r="682" spans="2:3" ht="15.5" thickTop="1" thickBot="1" x14ac:dyDescent="0.4">
      <c r="B682" s="26"/>
      <c r="C682" s="27"/>
    </row>
    <row r="683" spans="2:3" ht="15.5" thickTop="1" thickBot="1" x14ac:dyDescent="0.4">
      <c r="B683" s="26"/>
      <c r="C683" s="27"/>
    </row>
    <row r="684" spans="2:3" ht="15.5" thickTop="1" thickBot="1" x14ac:dyDescent="0.4">
      <c r="B684" s="26"/>
      <c r="C684" s="27"/>
    </row>
    <row r="685" spans="2:3" ht="15.5" thickTop="1" thickBot="1" x14ac:dyDescent="0.4">
      <c r="B685" s="26"/>
      <c r="C685" s="27"/>
    </row>
    <row r="686" spans="2:3" ht="15.5" thickTop="1" thickBot="1" x14ac:dyDescent="0.4">
      <c r="B686" s="26"/>
      <c r="C686" s="27"/>
    </row>
    <row r="687" spans="2:3" ht="15.5" thickTop="1" thickBot="1" x14ac:dyDescent="0.4">
      <c r="B687" s="26"/>
      <c r="C687" s="27"/>
    </row>
    <row r="688" spans="2:3" ht="15.5" thickTop="1" thickBot="1" x14ac:dyDescent="0.4">
      <c r="B688" s="26"/>
      <c r="C688" s="27"/>
    </row>
    <row r="689" spans="2:3" ht="15.5" thickTop="1" thickBot="1" x14ac:dyDescent="0.4">
      <c r="B689" s="26"/>
      <c r="C689" s="27"/>
    </row>
    <row r="690" spans="2:3" ht="15.5" thickTop="1" thickBot="1" x14ac:dyDescent="0.4">
      <c r="B690" s="26"/>
      <c r="C690" s="27"/>
    </row>
    <row r="691" spans="2:3" ht="15.5" thickTop="1" thickBot="1" x14ac:dyDescent="0.4">
      <c r="B691" s="26"/>
      <c r="C691" s="27"/>
    </row>
    <row r="692" spans="2:3" ht="15.5" thickTop="1" thickBot="1" x14ac:dyDescent="0.4">
      <c r="B692" s="26"/>
      <c r="C692" s="27"/>
    </row>
    <row r="693" spans="2:3" ht="15.5" thickTop="1" thickBot="1" x14ac:dyDescent="0.4">
      <c r="B693" s="26"/>
      <c r="C693" s="27"/>
    </row>
    <row r="694" spans="2:3" ht="15.5" thickTop="1" thickBot="1" x14ac:dyDescent="0.4">
      <c r="B694" s="26"/>
      <c r="C694" s="27"/>
    </row>
    <row r="695" spans="2:3" ht="15.5" thickTop="1" thickBot="1" x14ac:dyDescent="0.4">
      <c r="B695" s="26"/>
      <c r="C695" s="27"/>
    </row>
    <row r="696" spans="2:3" ht="15.5" thickTop="1" thickBot="1" x14ac:dyDescent="0.4">
      <c r="B696" s="26"/>
      <c r="C696" s="27"/>
    </row>
    <row r="697" spans="2:3" ht="15.5" thickTop="1" thickBot="1" x14ac:dyDescent="0.4">
      <c r="B697" s="26"/>
      <c r="C697" s="27"/>
    </row>
    <row r="698" spans="2:3" ht="15.5" thickTop="1" thickBot="1" x14ac:dyDescent="0.4">
      <c r="B698" s="26"/>
      <c r="C698" s="27"/>
    </row>
    <row r="699" spans="2:3" ht="15.5" thickTop="1" thickBot="1" x14ac:dyDescent="0.4">
      <c r="B699" s="26"/>
      <c r="C699" s="27"/>
    </row>
    <row r="700" spans="2:3" ht="15.5" thickTop="1" thickBot="1" x14ac:dyDescent="0.4">
      <c r="B700" s="26"/>
      <c r="C700" s="27"/>
    </row>
    <row r="701" spans="2:3" ht="15.5" thickTop="1" thickBot="1" x14ac:dyDescent="0.4">
      <c r="B701" s="26"/>
      <c r="C701" s="27"/>
    </row>
    <row r="702" spans="2:3" ht="15.5" thickTop="1" thickBot="1" x14ac:dyDescent="0.4">
      <c r="B702" s="26"/>
      <c r="C702" s="27"/>
    </row>
    <row r="703" spans="2:3" ht="15.5" thickTop="1" thickBot="1" x14ac:dyDescent="0.4">
      <c r="B703" s="26"/>
      <c r="C703" s="27"/>
    </row>
    <row r="704" spans="2:3" ht="15.5" thickTop="1" thickBot="1" x14ac:dyDescent="0.4">
      <c r="B704" s="26"/>
      <c r="C704" s="27"/>
    </row>
    <row r="705" spans="2:3" ht="15.5" thickTop="1" thickBot="1" x14ac:dyDescent="0.4">
      <c r="B705" s="26"/>
      <c r="C705" s="27"/>
    </row>
    <row r="706" spans="2:3" ht="15.5" thickTop="1" thickBot="1" x14ac:dyDescent="0.4">
      <c r="B706" s="26"/>
      <c r="C706" s="27"/>
    </row>
    <row r="707" spans="2:3" ht="15.5" thickTop="1" thickBot="1" x14ac:dyDescent="0.4">
      <c r="B707" s="26"/>
      <c r="C707" s="27"/>
    </row>
    <row r="708" spans="2:3" ht="15.5" thickTop="1" thickBot="1" x14ac:dyDescent="0.4">
      <c r="B708" s="26"/>
      <c r="C708" s="27"/>
    </row>
    <row r="709" spans="2:3" ht="15.5" thickTop="1" thickBot="1" x14ac:dyDescent="0.4">
      <c r="B709" s="26"/>
      <c r="C709" s="27"/>
    </row>
    <row r="710" spans="2:3" ht="15.5" thickTop="1" thickBot="1" x14ac:dyDescent="0.4">
      <c r="B710" s="26"/>
      <c r="C710" s="27"/>
    </row>
    <row r="711" spans="2:3" ht="15.5" thickTop="1" thickBot="1" x14ac:dyDescent="0.4">
      <c r="B711" s="26"/>
      <c r="C711" s="27"/>
    </row>
    <row r="712" spans="2:3" ht="15.5" thickTop="1" thickBot="1" x14ac:dyDescent="0.4">
      <c r="B712" s="26"/>
      <c r="C712" s="27"/>
    </row>
    <row r="713" spans="2:3" ht="15.5" thickTop="1" thickBot="1" x14ac:dyDescent="0.4">
      <c r="B713" s="26"/>
      <c r="C713" s="27"/>
    </row>
    <row r="714" spans="2:3" ht="15.5" thickTop="1" thickBot="1" x14ac:dyDescent="0.4">
      <c r="B714" s="26"/>
      <c r="C714" s="27"/>
    </row>
    <row r="715" spans="2:3" ht="15.5" thickTop="1" thickBot="1" x14ac:dyDescent="0.4">
      <c r="B715" s="26"/>
      <c r="C715" s="27"/>
    </row>
    <row r="716" spans="2:3" ht="15.5" thickTop="1" thickBot="1" x14ac:dyDescent="0.4">
      <c r="B716" s="26"/>
      <c r="C716" s="27"/>
    </row>
    <row r="717" spans="2:3" ht="15.5" thickTop="1" thickBot="1" x14ac:dyDescent="0.4">
      <c r="B717" s="26"/>
      <c r="C717" s="27"/>
    </row>
    <row r="718" spans="2:3" ht="15.5" thickTop="1" thickBot="1" x14ac:dyDescent="0.4">
      <c r="B718" s="26"/>
      <c r="C718" s="27"/>
    </row>
    <row r="719" spans="2:3" ht="15.5" thickTop="1" thickBot="1" x14ac:dyDescent="0.4">
      <c r="B719" s="26"/>
      <c r="C719" s="27"/>
    </row>
    <row r="720" spans="2:3" ht="15.5" thickTop="1" thickBot="1" x14ac:dyDescent="0.4">
      <c r="B720" s="26"/>
      <c r="C720" s="27"/>
    </row>
    <row r="721" spans="2:3" ht="15.5" thickTop="1" thickBot="1" x14ac:dyDescent="0.4">
      <c r="B721" s="26">
        <v>23.806887251319498</v>
      </c>
      <c r="C721" s="27">
        <v>3.3212013476997981E-2</v>
      </c>
    </row>
    <row r="722" spans="2:3" ht="15.5" thickTop="1" thickBot="1" x14ac:dyDescent="0.4">
      <c r="B722" s="26">
        <v>23.836000852935602</v>
      </c>
      <c r="C722" s="27">
        <v>2.9113601616103324E-2</v>
      </c>
    </row>
    <row r="723" spans="2:3" ht="15.5" thickTop="1" thickBot="1" x14ac:dyDescent="0.4">
      <c r="B723" s="26">
        <v>23.872891413941701</v>
      </c>
      <c r="C723" s="27">
        <v>3.6890561006099887E-2</v>
      </c>
    </row>
    <row r="724" spans="2:3" ht="15.5" thickTop="1" thickBot="1" x14ac:dyDescent="0.4">
      <c r="B724" s="26">
        <v>23.909390008960699</v>
      </c>
      <c r="C724" s="27">
        <v>3.6498595018997548E-2</v>
      </c>
    </row>
    <row r="725" spans="2:3" ht="15.5" thickTop="1" thickBot="1" x14ac:dyDescent="0.4">
      <c r="B725" s="26">
        <v>23.944656295204599</v>
      </c>
      <c r="C725" s="27">
        <v>3.5266286243899714E-2</v>
      </c>
    </row>
    <row r="726" spans="2:3" ht="15" thickTop="1" x14ac:dyDescent="0.35">
      <c r="B726" s="28">
        <v>23.973343793697399</v>
      </c>
      <c r="C726" s="29">
        <v>2.8687498492800501E-2</v>
      </c>
    </row>
  </sheetData>
  <sortState xmlns:xlrd2="http://schemas.microsoft.com/office/spreadsheetml/2017/richdata2" ref="C7:C726">
    <sortCondition ref="C7"/>
  </sortState>
  <mergeCells count="2">
    <mergeCell ref="H6:I6"/>
    <mergeCell ref="H10:I10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rrivalRate">
                <anchor moveWithCells="1" sizeWithCells="1">
                  <from>
                    <xdr:col>8</xdr:col>
                    <xdr:colOff>615950</xdr:colOff>
                    <xdr:row>0</xdr:row>
                    <xdr:rowOff>0</xdr:rowOff>
                  </from>
                  <to>
                    <xdr:col>11</xdr:col>
                    <xdr:colOff>209550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InterArrivalTime">
                <anchor moveWithCells="1" sizeWithCells="1">
                  <from>
                    <xdr:col>1</xdr:col>
                    <xdr:colOff>304800</xdr:colOff>
                    <xdr:row>0</xdr:row>
                    <xdr:rowOff>165100</xdr:rowOff>
                  </from>
                  <to>
                    <xdr:col>2</xdr:col>
                    <xdr:colOff>914400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HistogramOfArrivalData">
                <anchor moveWithCells="1" sizeWithCells="1">
                  <from>
                    <xdr:col>11</xdr:col>
                    <xdr:colOff>444500</xdr:colOff>
                    <xdr:row>1</xdr:row>
                    <xdr:rowOff>19050</xdr:rowOff>
                  </from>
                  <to>
                    <xdr:col>14</xdr:col>
                    <xdr:colOff>76200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CountNumberOfData">
                <anchor moveWithCells="1" sizeWithCells="1">
                  <from>
                    <xdr:col>6</xdr:col>
                    <xdr:colOff>215900</xdr:colOff>
                    <xdr:row>0</xdr:row>
                    <xdr:rowOff>95250</xdr:rowOff>
                  </from>
                  <to>
                    <xdr:col>8</xdr:col>
                    <xdr:colOff>387350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>
                <anchor moveWithCells="1" sizeWithCells="1">
                  <from>
                    <xdr:col>3</xdr:col>
                    <xdr:colOff>419100</xdr:colOff>
                    <xdr:row>0</xdr:row>
                    <xdr:rowOff>57150</xdr:rowOff>
                  </from>
                  <to>
                    <xdr:col>5</xdr:col>
                    <xdr:colOff>565150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721"/>
  <sheetViews>
    <sheetView workbookViewId="0">
      <selection activeCell="A3" sqref="A3"/>
    </sheetView>
  </sheetViews>
  <sheetFormatPr defaultRowHeight="14.5" x14ac:dyDescent="0.35"/>
  <cols>
    <col min="1" max="1" width="12" bestFit="1" customWidth="1"/>
  </cols>
  <sheetData>
    <row r="1" spans="1:1" x14ac:dyDescent="0.35">
      <c r="A1">
        <v>0</v>
      </c>
    </row>
    <row r="2" spans="1:1" x14ac:dyDescent="0.35">
      <c r="A2">
        <v>2.7403183000000001E-2</v>
      </c>
    </row>
    <row r="3" spans="1:1" x14ac:dyDescent="0.35">
      <c r="A3">
        <v>6.6363350000000002E-2</v>
      </c>
    </row>
    <row r="4" spans="1:1" x14ac:dyDescent="0.35">
      <c r="A4">
        <v>0.101492042</v>
      </c>
    </row>
    <row r="5" spans="1:1" x14ac:dyDescent="0.35">
      <c r="A5">
        <v>0.133197335</v>
      </c>
    </row>
    <row r="6" spans="1:1" x14ac:dyDescent="0.35">
      <c r="A6">
        <v>0.165026693</v>
      </c>
    </row>
    <row r="7" spans="1:1" x14ac:dyDescent="0.35">
      <c r="A7">
        <v>0.19513967800000001</v>
      </c>
    </row>
    <row r="8" spans="1:1" x14ac:dyDescent="0.35">
      <c r="A8">
        <v>0.23597099599999999</v>
      </c>
    </row>
    <row r="9" spans="1:1" x14ac:dyDescent="0.35">
      <c r="A9">
        <v>0.272724943</v>
      </c>
    </row>
    <row r="10" spans="1:1" x14ac:dyDescent="0.35">
      <c r="A10">
        <v>0.31022446399999998</v>
      </c>
    </row>
    <row r="11" spans="1:1" x14ac:dyDescent="0.35">
      <c r="A11">
        <v>0.332189491</v>
      </c>
    </row>
    <row r="12" spans="1:1" x14ac:dyDescent="0.35">
      <c r="A12">
        <v>0.35348768699999999</v>
      </c>
    </row>
    <row r="13" spans="1:1" x14ac:dyDescent="0.35">
      <c r="A13">
        <v>0.37822325899999998</v>
      </c>
    </row>
    <row r="14" spans="1:1" x14ac:dyDescent="0.35">
      <c r="A14">
        <v>0.40418443199999998</v>
      </c>
    </row>
    <row r="15" spans="1:1" x14ac:dyDescent="0.35">
      <c r="A15">
        <v>0.44512565599999998</v>
      </c>
    </row>
    <row r="16" spans="1:1" x14ac:dyDescent="0.35">
      <c r="A16">
        <v>0.46757993199999998</v>
      </c>
    </row>
    <row r="17" spans="1:1" x14ac:dyDescent="0.35">
      <c r="A17">
        <v>0.50425245399999996</v>
      </c>
    </row>
    <row r="18" spans="1:1" x14ac:dyDescent="0.35">
      <c r="A18">
        <v>0.55038288499999999</v>
      </c>
    </row>
    <row r="19" spans="1:1" x14ac:dyDescent="0.35">
      <c r="A19">
        <v>0.57379782999999995</v>
      </c>
    </row>
    <row r="20" spans="1:1" x14ac:dyDescent="0.35">
      <c r="A20">
        <v>0.60077776599999999</v>
      </c>
    </row>
    <row r="21" spans="1:1" x14ac:dyDescent="0.35">
      <c r="A21">
        <v>0.62381624899999999</v>
      </c>
    </row>
    <row r="22" spans="1:1" x14ac:dyDescent="0.35">
      <c r="A22">
        <v>0.66230732999999997</v>
      </c>
    </row>
    <row r="23" spans="1:1" x14ac:dyDescent="0.35">
      <c r="A23">
        <v>0.70677595100000001</v>
      </c>
    </row>
    <row r="24" spans="1:1" x14ac:dyDescent="0.35">
      <c r="A24">
        <v>0.73173668800000002</v>
      </c>
    </row>
    <row r="25" spans="1:1" x14ac:dyDescent="0.35">
      <c r="A25">
        <v>0.77334482100000002</v>
      </c>
    </row>
    <row r="26" spans="1:1" x14ac:dyDescent="0.35">
      <c r="A26">
        <v>0.80767493499999998</v>
      </c>
    </row>
    <row r="27" spans="1:1" x14ac:dyDescent="0.35">
      <c r="A27">
        <v>0.842984285</v>
      </c>
    </row>
    <row r="28" spans="1:1" x14ac:dyDescent="0.35">
      <c r="A28">
        <v>0.87054600900000001</v>
      </c>
    </row>
    <row r="29" spans="1:1" x14ac:dyDescent="0.35">
      <c r="A29">
        <v>0.90012700499999998</v>
      </c>
    </row>
    <row r="30" spans="1:1" x14ac:dyDescent="0.35">
      <c r="A30">
        <v>0.94244586600000002</v>
      </c>
    </row>
    <row r="31" spans="1:1" x14ac:dyDescent="0.35">
      <c r="A31">
        <v>0.97228320700000004</v>
      </c>
    </row>
    <row r="32" spans="1:1" x14ac:dyDescent="0.35">
      <c r="A32">
        <v>1.004732996</v>
      </c>
    </row>
    <row r="33" spans="1:1" x14ac:dyDescent="0.35">
      <c r="A33">
        <v>1.0330187719999999</v>
      </c>
    </row>
    <row r="34" spans="1:1" x14ac:dyDescent="0.35">
      <c r="A34">
        <v>1.0602268610000001</v>
      </c>
    </row>
    <row r="35" spans="1:1" x14ac:dyDescent="0.35">
      <c r="A35">
        <v>1.098810115</v>
      </c>
    </row>
    <row r="36" spans="1:1" x14ac:dyDescent="0.35">
      <c r="A36">
        <v>1.133183941</v>
      </c>
    </row>
    <row r="37" spans="1:1" x14ac:dyDescent="0.35">
      <c r="A37">
        <v>1.1595443329999999</v>
      </c>
    </row>
    <row r="38" spans="1:1" x14ac:dyDescent="0.35">
      <c r="A38">
        <v>1.183636211</v>
      </c>
    </row>
    <row r="39" spans="1:1" x14ac:dyDescent="0.35">
      <c r="A39">
        <v>1.2208607970000001</v>
      </c>
    </row>
    <row r="40" spans="1:1" x14ac:dyDescent="0.35">
      <c r="A40">
        <v>1.249785835</v>
      </c>
    </row>
    <row r="41" spans="1:1" x14ac:dyDescent="0.35">
      <c r="A41">
        <v>1.276906138</v>
      </c>
    </row>
    <row r="42" spans="1:1" x14ac:dyDescent="0.35">
      <c r="A42">
        <v>1.300292663</v>
      </c>
    </row>
    <row r="43" spans="1:1" x14ac:dyDescent="0.35">
      <c r="A43">
        <v>1.331737559</v>
      </c>
    </row>
    <row r="44" spans="1:1" x14ac:dyDescent="0.35">
      <c r="A44">
        <v>1.3785722389999999</v>
      </c>
    </row>
    <row r="45" spans="1:1" x14ac:dyDescent="0.35">
      <c r="A45">
        <v>1.4210597659999999</v>
      </c>
    </row>
    <row r="46" spans="1:1" x14ac:dyDescent="0.35">
      <c r="A46">
        <v>1.458574676</v>
      </c>
    </row>
    <row r="47" spans="1:1" x14ac:dyDescent="0.35">
      <c r="A47">
        <v>1.4914694079999999</v>
      </c>
    </row>
    <row r="48" spans="1:1" x14ac:dyDescent="0.35">
      <c r="A48">
        <v>1.523719279</v>
      </c>
    </row>
    <row r="49" spans="1:1" x14ac:dyDescent="0.35">
      <c r="A49">
        <v>1.5619205709999999</v>
      </c>
    </row>
    <row r="50" spans="1:1" x14ac:dyDescent="0.35">
      <c r="A50">
        <v>1.6107190950000001</v>
      </c>
    </row>
    <row r="51" spans="1:1" x14ac:dyDescent="0.35">
      <c r="A51">
        <v>1.652587437</v>
      </c>
    </row>
    <row r="52" spans="1:1" x14ac:dyDescent="0.35">
      <c r="A52">
        <v>1.678688344</v>
      </c>
    </row>
    <row r="53" spans="1:1" x14ac:dyDescent="0.35">
      <c r="A53">
        <v>1.711972668</v>
      </c>
    </row>
    <row r="54" spans="1:1" x14ac:dyDescent="0.35">
      <c r="A54">
        <v>1.7360065</v>
      </c>
    </row>
    <row r="55" spans="1:1" x14ac:dyDescent="0.35">
      <c r="A55">
        <v>1.763322179</v>
      </c>
    </row>
    <row r="56" spans="1:1" x14ac:dyDescent="0.35">
      <c r="A56">
        <v>1.8050951799999999</v>
      </c>
    </row>
    <row r="57" spans="1:1" x14ac:dyDescent="0.35">
      <c r="A57">
        <v>1.843147788</v>
      </c>
    </row>
    <row r="58" spans="1:1" x14ac:dyDescent="0.35">
      <c r="A58">
        <v>1.876768982</v>
      </c>
    </row>
    <row r="59" spans="1:1" x14ac:dyDescent="0.35">
      <c r="A59">
        <v>1.904259457</v>
      </c>
    </row>
    <row r="60" spans="1:1" x14ac:dyDescent="0.35">
      <c r="A60">
        <v>1.925621872</v>
      </c>
    </row>
    <row r="61" spans="1:1" x14ac:dyDescent="0.35">
      <c r="A61">
        <v>1.9475292630000001</v>
      </c>
    </row>
    <row r="62" spans="1:1" x14ac:dyDescent="0.35">
      <c r="A62">
        <v>1.9898345989999999</v>
      </c>
    </row>
    <row r="63" spans="1:1" x14ac:dyDescent="0.35">
      <c r="A63">
        <v>2.0149275040000001</v>
      </c>
    </row>
    <row r="64" spans="1:1" x14ac:dyDescent="0.35">
      <c r="A64">
        <v>2.0556835649999998</v>
      </c>
    </row>
    <row r="65" spans="1:1" x14ac:dyDescent="0.35">
      <c r="A65">
        <v>2.088588637</v>
      </c>
    </row>
    <row r="66" spans="1:1" x14ac:dyDescent="0.35">
      <c r="A66">
        <v>2.1326812450000001</v>
      </c>
    </row>
    <row r="67" spans="1:1" x14ac:dyDescent="0.35">
      <c r="A67">
        <v>2.157864794</v>
      </c>
    </row>
    <row r="68" spans="1:1" x14ac:dyDescent="0.35">
      <c r="A68">
        <v>2.1859220430000001</v>
      </c>
    </row>
    <row r="69" spans="1:1" x14ac:dyDescent="0.35">
      <c r="A69">
        <v>2.2234857649999999</v>
      </c>
    </row>
    <row r="70" spans="1:1" x14ac:dyDescent="0.35">
      <c r="A70">
        <v>2.2679429689999999</v>
      </c>
    </row>
    <row r="71" spans="1:1" x14ac:dyDescent="0.35">
      <c r="A71">
        <v>2.3025981340000001</v>
      </c>
    </row>
    <row r="72" spans="1:1" x14ac:dyDescent="0.35">
      <c r="A72">
        <v>2.342827829</v>
      </c>
    </row>
    <row r="73" spans="1:1" x14ac:dyDescent="0.35">
      <c r="A73">
        <v>2.3746685940000001</v>
      </c>
    </row>
    <row r="74" spans="1:1" x14ac:dyDescent="0.35">
      <c r="A74">
        <v>2.4017270220000002</v>
      </c>
    </row>
    <row r="75" spans="1:1" x14ac:dyDescent="0.35">
      <c r="A75">
        <v>2.4446399599999999</v>
      </c>
    </row>
    <row r="76" spans="1:1" x14ac:dyDescent="0.35">
      <c r="A76">
        <v>2.4697478949999998</v>
      </c>
    </row>
    <row r="77" spans="1:1" x14ac:dyDescent="0.35">
      <c r="A77">
        <v>2.4939129219999998</v>
      </c>
    </row>
    <row r="78" spans="1:1" x14ac:dyDescent="0.35">
      <c r="A78">
        <v>2.5412448099999998</v>
      </c>
    </row>
    <row r="79" spans="1:1" x14ac:dyDescent="0.35">
      <c r="A79">
        <v>2.5738135560000002</v>
      </c>
    </row>
    <row r="80" spans="1:1" x14ac:dyDescent="0.35">
      <c r="A80">
        <v>2.6109781320000001</v>
      </c>
    </row>
    <row r="81" spans="1:1" x14ac:dyDescent="0.35">
      <c r="A81">
        <v>2.6323767870000001</v>
      </c>
    </row>
    <row r="82" spans="1:1" x14ac:dyDescent="0.35">
      <c r="A82">
        <v>2.6667709259999999</v>
      </c>
    </row>
    <row r="83" spans="1:1" x14ac:dyDescent="0.35">
      <c r="A83">
        <v>2.6985053489999999</v>
      </c>
    </row>
    <row r="84" spans="1:1" x14ac:dyDescent="0.35">
      <c r="A84">
        <v>2.729321933</v>
      </c>
    </row>
    <row r="85" spans="1:1" x14ac:dyDescent="0.35">
      <c r="A85">
        <v>2.7657830950000002</v>
      </c>
    </row>
    <row r="86" spans="1:1" x14ac:dyDescent="0.35">
      <c r="A86">
        <v>2.8002347689999998</v>
      </c>
    </row>
    <row r="87" spans="1:1" x14ac:dyDescent="0.35">
      <c r="A87">
        <v>2.8293905719999999</v>
      </c>
    </row>
    <row r="88" spans="1:1" x14ac:dyDescent="0.35">
      <c r="A88">
        <v>2.859526061</v>
      </c>
    </row>
    <row r="89" spans="1:1" x14ac:dyDescent="0.35">
      <c r="A89">
        <v>2.888009603</v>
      </c>
    </row>
    <row r="90" spans="1:1" x14ac:dyDescent="0.35">
      <c r="A90">
        <v>2.9307089230000001</v>
      </c>
    </row>
    <row r="91" spans="1:1" x14ac:dyDescent="0.35">
      <c r="A91">
        <v>2.9527535650000001</v>
      </c>
    </row>
    <row r="92" spans="1:1" x14ac:dyDescent="0.35">
      <c r="A92">
        <v>2.9920791649999998</v>
      </c>
    </row>
    <row r="93" spans="1:1" x14ac:dyDescent="0.35">
      <c r="A93">
        <v>3.0276410199999999</v>
      </c>
    </row>
    <row r="94" spans="1:1" x14ac:dyDescent="0.35">
      <c r="A94">
        <v>3.0593201780000001</v>
      </c>
    </row>
    <row r="95" spans="1:1" x14ac:dyDescent="0.35">
      <c r="A95">
        <v>3.0875578510000001</v>
      </c>
    </row>
    <row r="96" spans="1:1" x14ac:dyDescent="0.35">
      <c r="A96">
        <v>3.1323688349999999</v>
      </c>
    </row>
    <row r="97" spans="1:1" x14ac:dyDescent="0.35">
      <c r="A97">
        <v>3.1641604120000002</v>
      </c>
    </row>
    <row r="98" spans="1:1" x14ac:dyDescent="0.35">
      <c r="A98">
        <v>3.198993712</v>
      </c>
    </row>
    <row r="99" spans="1:1" x14ac:dyDescent="0.35">
      <c r="A99">
        <v>3.2343071700000001</v>
      </c>
    </row>
    <row r="100" spans="1:1" x14ac:dyDescent="0.35">
      <c r="A100">
        <v>3.2657444259999999</v>
      </c>
    </row>
    <row r="101" spans="1:1" x14ac:dyDescent="0.35">
      <c r="A101">
        <v>3.3028889220000002</v>
      </c>
    </row>
    <row r="102" spans="1:1" x14ac:dyDescent="0.35">
      <c r="A102">
        <v>3.3251867289999999</v>
      </c>
    </row>
    <row r="103" spans="1:1" x14ac:dyDescent="0.35">
      <c r="A103">
        <v>3.3541677910000001</v>
      </c>
    </row>
    <row r="104" spans="1:1" x14ac:dyDescent="0.35">
      <c r="A104">
        <v>3.387602046</v>
      </c>
    </row>
    <row r="105" spans="1:1" x14ac:dyDescent="0.35">
      <c r="A105">
        <v>3.4212248230000002</v>
      </c>
    </row>
    <row r="106" spans="1:1" x14ac:dyDescent="0.35">
      <c r="A106">
        <v>3.4552698749999999</v>
      </c>
    </row>
    <row r="107" spans="1:1" x14ac:dyDescent="0.35">
      <c r="A107">
        <v>3.4825506430000002</v>
      </c>
    </row>
    <row r="108" spans="1:1" x14ac:dyDescent="0.35">
      <c r="A108">
        <v>3.5169948130000002</v>
      </c>
    </row>
    <row r="109" spans="1:1" x14ac:dyDescent="0.35">
      <c r="A109">
        <v>3.5470744019999998</v>
      </c>
    </row>
    <row r="110" spans="1:1" x14ac:dyDescent="0.35">
      <c r="A110">
        <v>3.5947060830000002</v>
      </c>
    </row>
    <row r="111" spans="1:1" x14ac:dyDescent="0.35">
      <c r="A111">
        <v>3.6321874190000001</v>
      </c>
    </row>
    <row r="112" spans="1:1" x14ac:dyDescent="0.35">
      <c r="A112">
        <v>3.6666969410000001</v>
      </c>
    </row>
    <row r="113" spans="1:1" x14ac:dyDescent="0.35">
      <c r="A113">
        <v>3.6918810409999998</v>
      </c>
    </row>
    <row r="114" spans="1:1" x14ac:dyDescent="0.35">
      <c r="A114">
        <v>3.7114994960000001</v>
      </c>
    </row>
    <row r="115" spans="1:1" x14ac:dyDescent="0.35">
      <c r="A115">
        <v>3.7434559809999999</v>
      </c>
    </row>
    <row r="116" spans="1:1" x14ac:dyDescent="0.35">
      <c r="A116">
        <v>3.7690542279999999</v>
      </c>
    </row>
    <row r="117" spans="1:1" x14ac:dyDescent="0.35">
      <c r="A117">
        <v>3.7924563099999999</v>
      </c>
    </row>
    <row r="118" spans="1:1" x14ac:dyDescent="0.35">
      <c r="A118">
        <v>3.8237815579999999</v>
      </c>
    </row>
    <row r="119" spans="1:1" x14ac:dyDescent="0.35">
      <c r="A119">
        <v>3.8509081969999999</v>
      </c>
    </row>
    <row r="120" spans="1:1" x14ac:dyDescent="0.35">
      <c r="A120">
        <v>3.881965906</v>
      </c>
    </row>
    <row r="121" spans="1:1" x14ac:dyDescent="0.35">
      <c r="A121">
        <v>3.9293851050000002</v>
      </c>
    </row>
    <row r="122" spans="1:1" x14ac:dyDescent="0.35">
      <c r="A122">
        <v>3.9690425880000002</v>
      </c>
    </row>
    <row r="123" spans="1:1" x14ac:dyDescent="0.35">
      <c r="A123">
        <v>4.0048097470000004</v>
      </c>
    </row>
    <row r="124" spans="1:1" x14ac:dyDescent="0.35">
      <c r="A124">
        <v>4.0337656580000001</v>
      </c>
    </row>
    <row r="125" spans="1:1" x14ac:dyDescent="0.35">
      <c r="A125">
        <v>4.0819275849999999</v>
      </c>
    </row>
    <row r="126" spans="1:1" x14ac:dyDescent="0.35">
      <c r="A126">
        <v>4.1130211269999997</v>
      </c>
    </row>
    <row r="127" spans="1:1" x14ac:dyDescent="0.35">
      <c r="A127">
        <v>4.151600534</v>
      </c>
    </row>
    <row r="128" spans="1:1" x14ac:dyDescent="0.35">
      <c r="A128">
        <v>4.1802970190000002</v>
      </c>
    </row>
    <row r="129" spans="1:1" x14ac:dyDescent="0.35">
      <c r="A129">
        <v>4.2148605349999997</v>
      </c>
    </row>
    <row r="130" spans="1:1" x14ac:dyDescent="0.35">
      <c r="A130">
        <v>4.2476000809999999</v>
      </c>
    </row>
    <row r="131" spans="1:1" x14ac:dyDescent="0.35">
      <c r="A131">
        <v>4.2732661539999999</v>
      </c>
    </row>
    <row r="132" spans="1:1" x14ac:dyDescent="0.35">
      <c r="A132">
        <v>4.3078120450000004</v>
      </c>
    </row>
    <row r="133" spans="1:1" x14ac:dyDescent="0.35">
      <c r="A133">
        <v>4.3392468209999997</v>
      </c>
    </row>
    <row r="134" spans="1:1" x14ac:dyDescent="0.35">
      <c r="A134">
        <v>4.3782784499999998</v>
      </c>
    </row>
    <row r="135" spans="1:1" x14ac:dyDescent="0.35">
      <c r="A135">
        <v>4.4166310940000004</v>
      </c>
    </row>
    <row r="136" spans="1:1" x14ac:dyDescent="0.35">
      <c r="A136">
        <v>4.4486270010000002</v>
      </c>
    </row>
    <row r="137" spans="1:1" x14ac:dyDescent="0.35">
      <c r="A137">
        <v>4.4676296510000002</v>
      </c>
    </row>
    <row r="138" spans="1:1" x14ac:dyDescent="0.35">
      <c r="A138">
        <v>4.5011615730000001</v>
      </c>
    </row>
    <row r="139" spans="1:1" x14ac:dyDescent="0.35">
      <c r="A139">
        <v>4.5332513790000002</v>
      </c>
    </row>
    <row r="140" spans="1:1" x14ac:dyDescent="0.35">
      <c r="A140">
        <v>4.553926347</v>
      </c>
    </row>
    <row r="141" spans="1:1" x14ac:dyDescent="0.35">
      <c r="A141">
        <v>4.5918535159999996</v>
      </c>
    </row>
    <row r="142" spans="1:1" x14ac:dyDescent="0.35">
      <c r="A142">
        <v>4.6312267800000004</v>
      </c>
    </row>
    <row r="143" spans="1:1" x14ac:dyDescent="0.35">
      <c r="A143">
        <v>4.6546168589999999</v>
      </c>
    </row>
    <row r="144" spans="1:1" x14ac:dyDescent="0.35">
      <c r="A144">
        <v>4.6795364959999999</v>
      </c>
    </row>
    <row r="145" spans="1:1" x14ac:dyDescent="0.35">
      <c r="A145">
        <v>4.7096371980000002</v>
      </c>
    </row>
    <row r="146" spans="1:1" x14ac:dyDescent="0.35">
      <c r="A146">
        <v>4.7429366870000003</v>
      </c>
    </row>
    <row r="147" spans="1:1" x14ac:dyDescent="0.35">
      <c r="A147">
        <v>4.7688408180000001</v>
      </c>
    </row>
    <row r="148" spans="1:1" x14ac:dyDescent="0.35">
      <c r="A148">
        <v>4.8027512760000004</v>
      </c>
    </row>
    <row r="149" spans="1:1" x14ac:dyDescent="0.35">
      <c r="A149">
        <v>4.8478111269999999</v>
      </c>
    </row>
    <row r="150" spans="1:1" x14ac:dyDescent="0.35">
      <c r="A150">
        <v>4.878102256</v>
      </c>
    </row>
    <row r="151" spans="1:1" x14ac:dyDescent="0.35">
      <c r="A151">
        <v>4.9138933199999997</v>
      </c>
    </row>
    <row r="152" spans="1:1" x14ac:dyDescent="0.35">
      <c r="A152">
        <v>4.9441957240000001</v>
      </c>
    </row>
    <row r="153" spans="1:1" x14ac:dyDescent="0.35">
      <c r="A153">
        <v>4.9716504339999998</v>
      </c>
    </row>
    <row r="154" spans="1:1" x14ac:dyDescent="0.35">
      <c r="A154">
        <v>4.9980401299999997</v>
      </c>
    </row>
    <row r="155" spans="1:1" x14ac:dyDescent="0.35">
      <c r="A155">
        <v>5.0422043360000002</v>
      </c>
    </row>
    <row r="156" spans="1:1" x14ac:dyDescent="0.35">
      <c r="A156">
        <v>5.0810607389999998</v>
      </c>
    </row>
    <row r="157" spans="1:1" x14ac:dyDescent="0.35">
      <c r="A157">
        <v>5.1129202009999997</v>
      </c>
    </row>
    <row r="158" spans="1:1" x14ac:dyDescent="0.35">
      <c r="A158">
        <v>5.1436047159999996</v>
      </c>
    </row>
    <row r="159" spans="1:1" x14ac:dyDescent="0.35">
      <c r="A159">
        <v>5.1779373529999999</v>
      </c>
    </row>
    <row r="160" spans="1:1" x14ac:dyDescent="0.35">
      <c r="A160">
        <v>5.2152068429999998</v>
      </c>
    </row>
    <row r="161" spans="1:1" x14ac:dyDescent="0.35">
      <c r="A161">
        <v>5.2441412830000003</v>
      </c>
    </row>
    <row r="162" spans="1:1" x14ac:dyDescent="0.35">
      <c r="A162">
        <v>5.2720353700000002</v>
      </c>
    </row>
    <row r="163" spans="1:1" x14ac:dyDescent="0.35">
      <c r="A163">
        <v>5.2948243990000003</v>
      </c>
    </row>
    <row r="164" spans="1:1" x14ac:dyDescent="0.35">
      <c r="A164">
        <v>5.3213730950000002</v>
      </c>
    </row>
    <row r="165" spans="1:1" x14ac:dyDescent="0.35">
      <c r="A165">
        <v>5.3561330710000004</v>
      </c>
    </row>
    <row r="166" spans="1:1" x14ac:dyDescent="0.35">
      <c r="A166">
        <v>5.398222928</v>
      </c>
    </row>
    <row r="167" spans="1:1" x14ac:dyDescent="0.35">
      <c r="A167">
        <v>5.4350445939999998</v>
      </c>
    </row>
    <row r="168" spans="1:1" x14ac:dyDescent="0.35">
      <c r="A168">
        <v>5.4644952729999998</v>
      </c>
    </row>
    <row r="169" spans="1:1" x14ac:dyDescent="0.35">
      <c r="A169">
        <v>5.4967287340000004</v>
      </c>
    </row>
    <row r="170" spans="1:1" x14ac:dyDescent="0.35">
      <c r="A170">
        <v>5.5374267079999999</v>
      </c>
    </row>
    <row r="171" spans="1:1" x14ac:dyDescent="0.35">
      <c r="A171">
        <v>5.5596519129999997</v>
      </c>
    </row>
    <row r="172" spans="1:1" x14ac:dyDescent="0.35">
      <c r="A172">
        <v>5.5814954779999999</v>
      </c>
    </row>
    <row r="173" spans="1:1" x14ac:dyDescent="0.35">
      <c r="A173">
        <v>5.613714646</v>
      </c>
    </row>
    <row r="174" spans="1:1" x14ac:dyDescent="0.35">
      <c r="A174">
        <v>5.6499153169999996</v>
      </c>
    </row>
    <row r="175" spans="1:1" x14ac:dyDescent="0.35">
      <c r="A175">
        <v>5.6758316769999997</v>
      </c>
    </row>
    <row r="176" spans="1:1" x14ac:dyDescent="0.35">
      <c r="A176">
        <v>5.7088400269999999</v>
      </c>
    </row>
    <row r="177" spans="1:1" x14ac:dyDescent="0.35">
      <c r="A177">
        <v>5.7418050269999998</v>
      </c>
    </row>
    <row r="178" spans="1:1" x14ac:dyDescent="0.35">
      <c r="A178">
        <v>5.7691738370000003</v>
      </c>
    </row>
    <row r="179" spans="1:1" x14ac:dyDescent="0.35">
      <c r="A179">
        <v>5.7995154969999998</v>
      </c>
    </row>
    <row r="180" spans="1:1" x14ac:dyDescent="0.35">
      <c r="A180">
        <v>5.8428964880000001</v>
      </c>
    </row>
    <row r="181" spans="1:1" x14ac:dyDescent="0.35">
      <c r="A181">
        <v>5.8688731089999999</v>
      </c>
    </row>
    <row r="182" spans="1:1" x14ac:dyDescent="0.35">
      <c r="A182">
        <v>5.9030273040000001</v>
      </c>
    </row>
    <row r="183" spans="1:1" x14ac:dyDescent="0.35">
      <c r="A183">
        <v>5.9295860930000002</v>
      </c>
    </row>
    <row r="184" spans="1:1" x14ac:dyDescent="0.35">
      <c r="A184">
        <v>5.9687108240000004</v>
      </c>
    </row>
    <row r="185" spans="1:1" x14ac:dyDescent="0.35">
      <c r="A185">
        <v>5.9943204760000004</v>
      </c>
    </row>
    <row r="186" spans="1:1" x14ac:dyDescent="0.35">
      <c r="A186">
        <v>6.023634113</v>
      </c>
    </row>
    <row r="187" spans="1:1" x14ac:dyDescent="0.35">
      <c r="A187">
        <v>6.047530214</v>
      </c>
    </row>
    <row r="188" spans="1:1" x14ac:dyDescent="0.35">
      <c r="A188">
        <v>6.0803461729999997</v>
      </c>
    </row>
    <row r="189" spans="1:1" x14ac:dyDescent="0.35">
      <c r="A189">
        <v>6.1005717879999999</v>
      </c>
    </row>
    <row r="190" spans="1:1" x14ac:dyDescent="0.35">
      <c r="A190">
        <v>6.1231228079999998</v>
      </c>
    </row>
    <row r="191" spans="1:1" x14ac:dyDescent="0.35">
      <c r="A191">
        <v>6.1557100140000003</v>
      </c>
    </row>
    <row r="192" spans="1:1" x14ac:dyDescent="0.35">
      <c r="A192">
        <v>6.1799431990000002</v>
      </c>
    </row>
    <row r="193" spans="1:1" x14ac:dyDescent="0.35">
      <c r="A193">
        <v>6.2071403050000002</v>
      </c>
    </row>
    <row r="194" spans="1:1" x14ac:dyDescent="0.35">
      <c r="A194">
        <v>6.2452959019999996</v>
      </c>
    </row>
    <row r="195" spans="1:1" x14ac:dyDescent="0.35">
      <c r="A195">
        <v>6.2716678349999997</v>
      </c>
    </row>
    <row r="196" spans="1:1" x14ac:dyDescent="0.35">
      <c r="A196">
        <v>6.3006564850000002</v>
      </c>
    </row>
    <row r="197" spans="1:1" x14ac:dyDescent="0.35">
      <c r="A197">
        <v>6.3398899760000003</v>
      </c>
    </row>
    <row r="198" spans="1:1" x14ac:dyDescent="0.35">
      <c r="A198">
        <v>6.3732343939999998</v>
      </c>
    </row>
    <row r="199" spans="1:1" x14ac:dyDescent="0.35">
      <c r="A199">
        <v>6.4036235059999997</v>
      </c>
    </row>
    <row r="200" spans="1:1" x14ac:dyDescent="0.35">
      <c r="A200">
        <v>6.4384797169999999</v>
      </c>
    </row>
    <row r="201" spans="1:1" x14ac:dyDescent="0.35">
      <c r="A201">
        <v>6.4744386220000001</v>
      </c>
    </row>
    <row r="202" spans="1:1" x14ac:dyDescent="0.35">
      <c r="A202">
        <v>6.5137209599999997</v>
      </c>
    </row>
    <row r="203" spans="1:1" x14ac:dyDescent="0.35">
      <c r="A203">
        <v>6.53573687</v>
      </c>
    </row>
    <row r="204" spans="1:1" x14ac:dyDescent="0.35">
      <c r="A204">
        <v>6.5740118049999996</v>
      </c>
    </row>
    <row r="205" spans="1:1" x14ac:dyDescent="0.35">
      <c r="A205">
        <v>6.6070999639999997</v>
      </c>
    </row>
    <row r="206" spans="1:1" x14ac:dyDescent="0.35">
      <c r="A206">
        <v>6.6444603219999996</v>
      </c>
    </row>
    <row r="207" spans="1:1" x14ac:dyDescent="0.35">
      <c r="A207">
        <v>6.6870800199999998</v>
      </c>
    </row>
    <row r="208" spans="1:1" x14ac:dyDescent="0.35">
      <c r="A208">
        <v>6.7282618100000002</v>
      </c>
    </row>
    <row r="209" spans="1:1" x14ac:dyDescent="0.35">
      <c r="A209">
        <v>6.7626343100000001</v>
      </c>
    </row>
    <row r="210" spans="1:1" x14ac:dyDescent="0.35">
      <c r="A210">
        <v>6.7881002600000002</v>
      </c>
    </row>
    <row r="211" spans="1:1" x14ac:dyDescent="0.35">
      <c r="A211">
        <v>6.8268373349999996</v>
      </c>
    </row>
    <row r="212" spans="1:1" x14ac:dyDescent="0.35">
      <c r="A212">
        <v>6.8482249470000003</v>
      </c>
    </row>
    <row r="213" spans="1:1" x14ac:dyDescent="0.35">
      <c r="A213">
        <v>6.8656248050000004</v>
      </c>
    </row>
    <row r="214" spans="1:1" x14ac:dyDescent="0.35">
      <c r="A214">
        <v>6.9004082259999997</v>
      </c>
    </row>
    <row r="215" spans="1:1" x14ac:dyDescent="0.35">
      <c r="A215">
        <v>6.9344671160000004</v>
      </c>
    </row>
    <row r="216" spans="1:1" x14ac:dyDescent="0.35">
      <c r="A216">
        <v>6.9694712040000004</v>
      </c>
    </row>
    <row r="217" spans="1:1" x14ac:dyDescent="0.35">
      <c r="A217">
        <v>7.0134643670000001</v>
      </c>
    </row>
    <row r="218" spans="1:1" x14ac:dyDescent="0.35">
      <c r="A218">
        <v>7.0463461770000002</v>
      </c>
    </row>
    <row r="219" spans="1:1" x14ac:dyDescent="0.35">
      <c r="A219">
        <v>7.0713839360000001</v>
      </c>
    </row>
    <row r="220" spans="1:1" x14ac:dyDescent="0.35">
      <c r="A220">
        <v>7.105067011</v>
      </c>
    </row>
    <row r="221" spans="1:1" x14ac:dyDescent="0.35">
      <c r="A221">
        <v>7.1449953270000002</v>
      </c>
    </row>
    <row r="222" spans="1:1" x14ac:dyDescent="0.35">
      <c r="A222">
        <v>7.1839392899999996</v>
      </c>
    </row>
    <row r="223" spans="1:1" x14ac:dyDescent="0.35">
      <c r="A223">
        <v>7.2135524139999996</v>
      </c>
    </row>
    <row r="224" spans="1:1" x14ac:dyDescent="0.35">
      <c r="A224">
        <v>7.2483834849999997</v>
      </c>
    </row>
    <row r="225" spans="1:1" x14ac:dyDescent="0.35">
      <c r="A225">
        <v>7.2877034160000003</v>
      </c>
    </row>
    <row r="226" spans="1:1" x14ac:dyDescent="0.35">
      <c r="A226">
        <v>7.3249468599999998</v>
      </c>
    </row>
    <row r="227" spans="1:1" x14ac:dyDescent="0.35">
      <c r="A227">
        <v>7.3709315179999999</v>
      </c>
    </row>
    <row r="228" spans="1:1" x14ac:dyDescent="0.35">
      <c r="A228">
        <v>7.4075271410000001</v>
      </c>
    </row>
    <row r="229" spans="1:1" x14ac:dyDescent="0.35">
      <c r="A229">
        <v>7.4422410499999998</v>
      </c>
    </row>
    <row r="230" spans="1:1" x14ac:dyDescent="0.35">
      <c r="A230">
        <v>7.4756407310000004</v>
      </c>
    </row>
    <row r="231" spans="1:1" x14ac:dyDescent="0.35">
      <c r="A231">
        <v>7.5132888820000003</v>
      </c>
    </row>
    <row r="232" spans="1:1" x14ac:dyDescent="0.35">
      <c r="A232">
        <v>7.5400863730000003</v>
      </c>
    </row>
    <row r="233" spans="1:1" x14ac:dyDescent="0.35">
      <c r="A233">
        <v>7.5736940610000003</v>
      </c>
    </row>
    <row r="234" spans="1:1" x14ac:dyDescent="0.35">
      <c r="A234">
        <v>7.5989419810000003</v>
      </c>
    </row>
    <row r="235" spans="1:1" x14ac:dyDescent="0.35">
      <c r="A235">
        <v>7.6241796160000002</v>
      </c>
    </row>
    <row r="236" spans="1:1" x14ac:dyDescent="0.35">
      <c r="A236">
        <v>7.6447589809999998</v>
      </c>
    </row>
    <row r="237" spans="1:1" x14ac:dyDescent="0.35">
      <c r="A237">
        <v>7.6827535029999998</v>
      </c>
    </row>
    <row r="238" spans="1:1" x14ac:dyDescent="0.35">
      <c r="A238">
        <v>7.7200049140000004</v>
      </c>
    </row>
    <row r="239" spans="1:1" x14ac:dyDescent="0.35">
      <c r="A239">
        <v>7.7521991740000002</v>
      </c>
    </row>
    <row r="240" spans="1:1" x14ac:dyDescent="0.35">
      <c r="A240">
        <v>7.7872285229999996</v>
      </c>
    </row>
    <row r="241" spans="1:1" x14ac:dyDescent="0.35">
      <c r="A241">
        <v>7.8072359670000004</v>
      </c>
    </row>
    <row r="242" spans="1:1" x14ac:dyDescent="0.35">
      <c r="A242">
        <v>7.8450012520000003</v>
      </c>
    </row>
    <row r="243" spans="1:1" x14ac:dyDescent="0.35">
      <c r="A243">
        <v>7.8789382300000002</v>
      </c>
    </row>
    <row r="244" spans="1:1" x14ac:dyDescent="0.35">
      <c r="A244">
        <v>7.9124409460000003</v>
      </c>
    </row>
    <row r="245" spans="1:1" x14ac:dyDescent="0.35">
      <c r="A245">
        <v>7.9381744320000003</v>
      </c>
    </row>
    <row r="246" spans="1:1" x14ac:dyDescent="0.35">
      <c r="A246">
        <v>7.9656783180000001</v>
      </c>
    </row>
    <row r="247" spans="1:1" x14ac:dyDescent="0.35">
      <c r="A247">
        <v>7.9997823730000004</v>
      </c>
    </row>
    <row r="248" spans="1:1" x14ac:dyDescent="0.35">
      <c r="A248">
        <v>8.0329520910000003</v>
      </c>
    </row>
    <row r="249" spans="1:1" x14ac:dyDescent="0.35">
      <c r="A249">
        <v>8.0784804440000002</v>
      </c>
    </row>
    <row r="250" spans="1:1" x14ac:dyDescent="0.35">
      <c r="A250">
        <v>8.1114961880000003</v>
      </c>
    </row>
    <row r="251" spans="1:1" x14ac:dyDescent="0.35">
      <c r="A251">
        <v>8.1458582909999997</v>
      </c>
    </row>
    <row r="252" spans="1:1" x14ac:dyDescent="0.35">
      <c r="A252">
        <v>8.1864831240000004</v>
      </c>
    </row>
    <row r="253" spans="1:1" x14ac:dyDescent="0.35">
      <c r="A253">
        <v>8.2272614910000001</v>
      </c>
    </row>
    <row r="254" spans="1:1" x14ac:dyDescent="0.35">
      <c r="A254">
        <v>8.2625326579999996</v>
      </c>
    </row>
    <row r="255" spans="1:1" x14ac:dyDescent="0.35">
      <c r="A255">
        <v>8.2959906120000007</v>
      </c>
    </row>
    <row r="256" spans="1:1" x14ac:dyDescent="0.35">
      <c r="A256">
        <v>8.3338109930000002</v>
      </c>
    </row>
    <row r="257" spans="1:1" x14ac:dyDescent="0.35">
      <c r="A257">
        <v>8.378958141</v>
      </c>
    </row>
    <row r="258" spans="1:1" x14ac:dyDescent="0.35">
      <c r="A258">
        <v>8.4016907019999998</v>
      </c>
    </row>
    <row r="259" spans="1:1" x14ac:dyDescent="0.35">
      <c r="A259">
        <v>8.4356328739999995</v>
      </c>
    </row>
    <row r="260" spans="1:1" x14ac:dyDescent="0.35">
      <c r="A260">
        <v>8.4555355379999995</v>
      </c>
    </row>
    <row r="261" spans="1:1" x14ac:dyDescent="0.35">
      <c r="A261">
        <v>8.4948456589999992</v>
      </c>
    </row>
    <row r="262" spans="1:1" x14ac:dyDescent="0.35">
      <c r="A262">
        <v>8.5280258769999993</v>
      </c>
    </row>
    <row r="263" spans="1:1" x14ac:dyDescent="0.35">
      <c r="A263">
        <v>8.5550156770000001</v>
      </c>
    </row>
    <row r="264" spans="1:1" x14ac:dyDescent="0.35">
      <c r="A264">
        <v>8.5822756259999995</v>
      </c>
    </row>
    <row r="265" spans="1:1" x14ac:dyDescent="0.35">
      <c r="A265">
        <v>8.6047758489999993</v>
      </c>
    </row>
    <row r="266" spans="1:1" x14ac:dyDescent="0.35">
      <c r="A266">
        <v>8.6299361789999995</v>
      </c>
    </row>
    <row r="267" spans="1:1" x14ac:dyDescent="0.35">
      <c r="A267">
        <v>8.6767021440000001</v>
      </c>
    </row>
    <row r="268" spans="1:1" x14ac:dyDescent="0.35">
      <c r="A268">
        <v>8.7197691400000004</v>
      </c>
    </row>
    <row r="269" spans="1:1" x14ac:dyDescent="0.35">
      <c r="A269">
        <v>8.7475260919999993</v>
      </c>
    </row>
    <row r="270" spans="1:1" x14ac:dyDescent="0.35">
      <c r="A270">
        <v>8.7887980740000007</v>
      </c>
    </row>
    <row r="271" spans="1:1" x14ac:dyDescent="0.35">
      <c r="A271">
        <v>8.8218393709999994</v>
      </c>
    </row>
    <row r="272" spans="1:1" x14ac:dyDescent="0.35">
      <c r="A272">
        <v>8.8661142030000004</v>
      </c>
    </row>
    <row r="273" spans="1:1" x14ac:dyDescent="0.35">
      <c r="A273">
        <v>8.9058717989999998</v>
      </c>
    </row>
    <row r="274" spans="1:1" x14ac:dyDescent="0.35">
      <c r="A274">
        <v>8.937321098</v>
      </c>
    </row>
    <row r="275" spans="1:1" x14ac:dyDescent="0.35">
      <c r="A275">
        <v>8.9639855280000003</v>
      </c>
    </row>
    <row r="276" spans="1:1" x14ac:dyDescent="0.35">
      <c r="A276">
        <v>8.9934480909999994</v>
      </c>
    </row>
    <row r="277" spans="1:1" x14ac:dyDescent="0.35">
      <c r="A277">
        <v>9.0177830159999992</v>
      </c>
    </row>
    <row r="278" spans="1:1" x14ac:dyDescent="0.35">
      <c r="A278">
        <v>9.0430371110000003</v>
      </c>
    </row>
    <row r="279" spans="1:1" x14ac:dyDescent="0.35">
      <c r="A279">
        <v>9.078308174</v>
      </c>
    </row>
    <row r="280" spans="1:1" x14ac:dyDescent="0.35">
      <c r="A280">
        <v>9.1142965999999994</v>
      </c>
    </row>
    <row r="281" spans="1:1" x14ac:dyDescent="0.35">
      <c r="A281">
        <v>9.141470859</v>
      </c>
    </row>
    <row r="282" spans="1:1" x14ac:dyDescent="0.35">
      <c r="A282">
        <v>9.1682819519999992</v>
      </c>
    </row>
    <row r="283" spans="1:1" x14ac:dyDescent="0.35">
      <c r="A283">
        <v>9.1896059650000002</v>
      </c>
    </row>
    <row r="284" spans="1:1" x14ac:dyDescent="0.35">
      <c r="A284">
        <v>9.2198179949999997</v>
      </c>
    </row>
    <row r="285" spans="1:1" x14ac:dyDescent="0.35">
      <c r="A285">
        <v>9.2473546100000004</v>
      </c>
    </row>
    <row r="286" spans="1:1" x14ac:dyDescent="0.35">
      <c r="A286">
        <v>9.2792067619999994</v>
      </c>
    </row>
    <row r="287" spans="1:1" x14ac:dyDescent="0.35">
      <c r="A287">
        <v>9.3155751169999998</v>
      </c>
    </row>
    <row r="288" spans="1:1" x14ac:dyDescent="0.35">
      <c r="A288">
        <v>9.3459113879999993</v>
      </c>
    </row>
    <row r="289" spans="1:1" x14ac:dyDescent="0.35">
      <c r="A289">
        <v>9.3847423279999997</v>
      </c>
    </row>
    <row r="290" spans="1:1" x14ac:dyDescent="0.35">
      <c r="A290">
        <v>9.4212534239999997</v>
      </c>
    </row>
    <row r="291" spans="1:1" x14ac:dyDescent="0.35">
      <c r="A291">
        <v>9.4458615360000007</v>
      </c>
    </row>
    <row r="292" spans="1:1" x14ac:dyDescent="0.35">
      <c r="A292">
        <v>9.4895730399999998</v>
      </c>
    </row>
    <row r="293" spans="1:1" x14ac:dyDescent="0.35">
      <c r="A293">
        <v>9.5300531829999997</v>
      </c>
    </row>
    <row r="294" spans="1:1" x14ac:dyDescent="0.35">
      <c r="A294">
        <v>9.5619473199999998</v>
      </c>
    </row>
    <row r="295" spans="1:1" x14ac:dyDescent="0.35">
      <c r="A295">
        <v>9.6001671769999994</v>
      </c>
    </row>
    <row r="296" spans="1:1" x14ac:dyDescent="0.35">
      <c r="A296">
        <v>9.6432133269999998</v>
      </c>
    </row>
    <row r="297" spans="1:1" x14ac:dyDescent="0.35">
      <c r="A297">
        <v>9.6860551039999994</v>
      </c>
    </row>
    <row r="298" spans="1:1" x14ac:dyDescent="0.35">
      <c r="A298">
        <v>9.7148402479999998</v>
      </c>
    </row>
    <row r="299" spans="1:1" x14ac:dyDescent="0.35">
      <c r="A299">
        <v>9.7502361220000004</v>
      </c>
    </row>
    <row r="300" spans="1:1" x14ac:dyDescent="0.35">
      <c r="A300">
        <v>9.7727746890000002</v>
      </c>
    </row>
    <row r="301" spans="1:1" x14ac:dyDescent="0.35">
      <c r="A301">
        <v>9.8170725290000007</v>
      </c>
    </row>
    <row r="302" spans="1:1" x14ac:dyDescent="0.35">
      <c r="A302">
        <v>9.8558238940000003</v>
      </c>
    </row>
    <row r="303" spans="1:1" x14ac:dyDescent="0.35">
      <c r="A303">
        <v>9.8927403579999993</v>
      </c>
    </row>
    <row r="304" spans="1:1" x14ac:dyDescent="0.35">
      <c r="A304">
        <v>9.9258440710000002</v>
      </c>
    </row>
    <row r="305" spans="1:1" x14ac:dyDescent="0.35">
      <c r="A305">
        <v>9.9526433099999991</v>
      </c>
    </row>
    <row r="306" spans="1:1" x14ac:dyDescent="0.35">
      <c r="A306">
        <v>9.9996330449999995</v>
      </c>
    </row>
    <row r="307" spans="1:1" x14ac:dyDescent="0.35">
      <c r="A307">
        <v>10.040404799999999</v>
      </c>
    </row>
    <row r="308" spans="1:1" x14ac:dyDescent="0.35">
      <c r="A308">
        <v>10.07074697</v>
      </c>
    </row>
    <row r="309" spans="1:1" x14ac:dyDescent="0.35">
      <c r="A309">
        <v>10.10053798</v>
      </c>
    </row>
    <row r="310" spans="1:1" x14ac:dyDescent="0.35">
      <c r="A310">
        <v>10.12633512</v>
      </c>
    </row>
    <row r="311" spans="1:1" x14ac:dyDescent="0.35">
      <c r="A311">
        <v>10.161015709999999</v>
      </c>
    </row>
    <row r="312" spans="1:1" x14ac:dyDescent="0.35">
      <c r="A312">
        <v>10.2055732</v>
      </c>
    </row>
    <row r="313" spans="1:1" x14ac:dyDescent="0.35">
      <c r="A313">
        <v>10.240898380000001</v>
      </c>
    </row>
    <row r="314" spans="1:1" x14ac:dyDescent="0.35">
      <c r="A314">
        <v>10.26995365</v>
      </c>
    </row>
    <row r="315" spans="1:1" x14ac:dyDescent="0.35">
      <c r="A315">
        <v>10.306389859999999</v>
      </c>
    </row>
    <row r="316" spans="1:1" x14ac:dyDescent="0.35">
      <c r="A316">
        <v>10.34560258</v>
      </c>
    </row>
    <row r="317" spans="1:1" x14ac:dyDescent="0.35">
      <c r="A317">
        <v>10.37111093</v>
      </c>
    </row>
    <row r="318" spans="1:1" x14ac:dyDescent="0.35">
      <c r="A318">
        <v>10.3938098</v>
      </c>
    </row>
    <row r="319" spans="1:1" x14ac:dyDescent="0.35">
      <c r="A319">
        <v>10.43350199</v>
      </c>
    </row>
    <row r="320" spans="1:1" x14ac:dyDescent="0.35">
      <c r="A320">
        <v>10.45334093</v>
      </c>
    </row>
    <row r="321" spans="1:1" x14ac:dyDescent="0.35">
      <c r="A321">
        <v>10.4962065</v>
      </c>
    </row>
    <row r="322" spans="1:1" x14ac:dyDescent="0.35">
      <c r="A322">
        <v>10.53370267</v>
      </c>
    </row>
    <row r="323" spans="1:1" x14ac:dyDescent="0.35">
      <c r="A323">
        <v>10.55924823</v>
      </c>
    </row>
    <row r="324" spans="1:1" x14ac:dyDescent="0.35">
      <c r="A324">
        <v>10.59233294</v>
      </c>
    </row>
    <row r="325" spans="1:1" x14ac:dyDescent="0.35">
      <c r="A325">
        <v>10.633966429999999</v>
      </c>
    </row>
    <row r="326" spans="1:1" x14ac:dyDescent="0.35">
      <c r="A326">
        <v>10.673928480000001</v>
      </c>
    </row>
    <row r="327" spans="1:1" x14ac:dyDescent="0.35">
      <c r="A327">
        <v>10.7103819</v>
      </c>
    </row>
    <row r="328" spans="1:1" x14ac:dyDescent="0.35">
      <c r="A328">
        <v>10.741239050000001</v>
      </c>
    </row>
    <row r="329" spans="1:1" x14ac:dyDescent="0.35">
      <c r="A329">
        <v>10.777028420000001</v>
      </c>
    </row>
    <row r="330" spans="1:1" x14ac:dyDescent="0.35">
      <c r="A330">
        <v>10.80458138</v>
      </c>
    </row>
    <row r="331" spans="1:1" x14ac:dyDescent="0.35">
      <c r="A331">
        <v>10.83073519</v>
      </c>
    </row>
    <row r="332" spans="1:1" x14ac:dyDescent="0.35">
      <c r="A332">
        <v>10.85351957</v>
      </c>
    </row>
    <row r="333" spans="1:1" x14ac:dyDescent="0.35">
      <c r="A333">
        <v>10.899821149999999</v>
      </c>
    </row>
    <row r="334" spans="1:1" x14ac:dyDescent="0.35">
      <c r="A334">
        <v>10.92216996</v>
      </c>
    </row>
    <row r="335" spans="1:1" x14ac:dyDescent="0.35">
      <c r="A335">
        <v>10.95862129</v>
      </c>
    </row>
    <row r="336" spans="1:1" x14ac:dyDescent="0.35">
      <c r="A336">
        <v>10.99185177</v>
      </c>
    </row>
    <row r="337" spans="1:1" x14ac:dyDescent="0.35">
      <c r="A337">
        <v>11.030824040000001</v>
      </c>
    </row>
    <row r="338" spans="1:1" x14ac:dyDescent="0.35">
      <c r="A338">
        <v>11.06503405</v>
      </c>
    </row>
    <row r="339" spans="1:1" x14ac:dyDescent="0.35">
      <c r="A339">
        <v>11.094031960000001</v>
      </c>
    </row>
    <row r="340" spans="1:1" x14ac:dyDescent="0.35">
      <c r="A340">
        <v>11.126347859999999</v>
      </c>
    </row>
    <row r="341" spans="1:1" x14ac:dyDescent="0.35">
      <c r="A341">
        <v>11.154914959999999</v>
      </c>
    </row>
    <row r="342" spans="1:1" x14ac:dyDescent="0.35">
      <c r="A342">
        <v>11.196320569999999</v>
      </c>
    </row>
    <row r="343" spans="1:1" x14ac:dyDescent="0.35">
      <c r="A343">
        <v>11.225705120000001</v>
      </c>
    </row>
    <row r="344" spans="1:1" x14ac:dyDescent="0.35">
      <c r="A344">
        <v>11.26059899</v>
      </c>
    </row>
    <row r="345" spans="1:1" x14ac:dyDescent="0.35">
      <c r="A345">
        <v>11.2894503</v>
      </c>
    </row>
    <row r="346" spans="1:1" x14ac:dyDescent="0.35">
      <c r="A346">
        <v>11.330852500000001</v>
      </c>
    </row>
    <row r="347" spans="1:1" x14ac:dyDescent="0.35">
      <c r="A347">
        <v>11.35717674</v>
      </c>
    </row>
    <row r="348" spans="1:1" x14ac:dyDescent="0.35">
      <c r="A348">
        <v>11.40446977</v>
      </c>
    </row>
    <row r="349" spans="1:1" x14ac:dyDescent="0.35">
      <c r="A349">
        <v>11.440685070000001</v>
      </c>
    </row>
    <row r="350" spans="1:1" x14ac:dyDescent="0.35">
      <c r="A350">
        <v>11.47971321</v>
      </c>
    </row>
    <row r="351" spans="1:1" x14ac:dyDescent="0.35">
      <c r="A351">
        <v>11.503608030000001</v>
      </c>
    </row>
    <row r="352" spans="1:1" x14ac:dyDescent="0.35">
      <c r="A352">
        <v>11.549680009999999</v>
      </c>
    </row>
    <row r="353" spans="1:1" x14ac:dyDescent="0.35">
      <c r="A353">
        <v>11.594256229999999</v>
      </c>
    </row>
    <row r="354" spans="1:1" x14ac:dyDescent="0.35">
      <c r="A354">
        <v>11.630616460000001</v>
      </c>
    </row>
    <row r="355" spans="1:1" x14ac:dyDescent="0.35">
      <c r="A355">
        <v>11.655556450000001</v>
      </c>
    </row>
    <row r="356" spans="1:1" x14ac:dyDescent="0.35">
      <c r="A356">
        <v>11.6868514</v>
      </c>
    </row>
    <row r="357" spans="1:1" x14ac:dyDescent="0.35">
      <c r="A357">
        <v>11.72087591</v>
      </c>
    </row>
    <row r="358" spans="1:1" x14ac:dyDescent="0.35">
      <c r="A358">
        <v>11.752504699999999</v>
      </c>
    </row>
    <row r="359" spans="1:1" x14ac:dyDescent="0.35">
      <c r="A359">
        <v>11.777725480000001</v>
      </c>
    </row>
    <row r="360" spans="1:1" x14ac:dyDescent="0.35">
      <c r="A360">
        <v>11.811716690000001</v>
      </c>
    </row>
    <row r="361" spans="1:1" x14ac:dyDescent="0.35">
      <c r="A361">
        <v>11.843179149999999</v>
      </c>
    </row>
    <row r="362" spans="1:1" x14ac:dyDescent="0.35">
      <c r="A362">
        <v>11.87192233</v>
      </c>
    </row>
    <row r="363" spans="1:1" x14ac:dyDescent="0.35">
      <c r="A363">
        <v>11.91649202</v>
      </c>
    </row>
    <row r="364" spans="1:1" x14ac:dyDescent="0.35">
      <c r="A364">
        <v>11.94259134</v>
      </c>
    </row>
    <row r="365" spans="1:1" x14ac:dyDescent="0.35">
      <c r="A365">
        <v>11.98564816</v>
      </c>
    </row>
    <row r="366" spans="1:1" x14ac:dyDescent="0.35">
      <c r="A366">
        <v>12.01984873</v>
      </c>
    </row>
    <row r="367" spans="1:1" x14ac:dyDescent="0.35">
      <c r="A367">
        <v>12.05608765</v>
      </c>
    </row>
    <row r="368" spans="1:1" x14ac:dyDescent="0.35">
      <c r="A368">
        <v>12.088283880000001</v>
      </c>
    </row>
    <row r="369" spans="1:1" x14ac:dyDescent="0.35">
      <c r="A369">
        <v>12.122681930000001</v>
      </c>
    </row>
    <row r="370" spans="1:1" x14ac:dyDescent="0.35">
      <c r="A370">
        <v>12.155444340000001</v>
      </c>
    </row>
    <row r="371" spans="1:1" x14ac:dyDescent="0.35">
      <c r="A371">
        <v>12.18246493</v>
      </c>
    </row>
    <row r="372" spans="1:1" x14ac:dyDescent="0.35">
      <c r="A372">
        <v>12.220488209999999</v>
      </c>
    </row>
    <row r="373" spans="1:1" x14ac:dyDescent="0.35">
      <c r="A373">
        <v>12.256500600000001</v>
      </c>
    </row>
    <row r="374" spans="1:1" x14ac:dyDescent="0.35">
      <c r="A374">
        <v>12.291105659999999</v>
      </c>
    </row>
    <row r="375" spans="1:1" x14ac:dyDescent="0.35">
      <c r="A375">
        <v>12.317649210000001</v>
      </c>
    </row>
    <row r="376" spans="1:1" x14ac:dyDescent="0.35">
      <c r="A376">
        <v>12.349766600000001</v>
      </c>
    </row>
    <row r="377" spans="1:1" x14ac:dyDescent="0.35">
      <c r="A377">
        <v>12.37474624</v>
      </c>
    </row>
    <row r="378" spans="1:1" x14ac:dyDescent="0.35">
      <c r="A378">
        <v>12.411594880000001</v>
      </c>
    </row>
    <row r="379" spans="1:1" x14ac:dyDescent="0.35">
      <c r="A379">
        <v>12.461313990000001</v>
      </c>
    </row>
    <row r="380" spans="1:1" x14ac:dyDescent="0.35">
      <c r="A380">
        <v>12.495968489999999</v>
      </c>
    </row>
    <row r="381" spans="1:1" x14ac:dyDescent="0.35">
      <c r="A381">
        <v>12.539576029999999</v>
      </c>
    </row>
    <row r="382" spans="1:1" x14ac:dyDescent="0.35">
      <c r="A382">
        <v>12.56526081</v>
      </c>
    </row>
    <row r="383" spans="1:1" x14ac:dyDescent="0.35">
      <c r="A383">
        <v>12.59535266</v>
      </c>
    </row>
    <row r="384" spans="1:1" x14ac:dyDescent="0.35">
      <c r="A384">
        <v>12.639450330000001</v>
      </c>
    </row>
    <row r="385" spans="1:1" x14ac:dyDescent="0.35">
      <c r="A385">
        <v>12.678199960000001</v>
      </c>
    </row>
    <row r="386" spans="1:1" x14ac:dyDescent="0.35">
      <c r="A386">
        <v>12.72580621</v>
      </c>
    </row>
    <row r="387" spans="1:1" x14ac:dyDescent="0.35">
      <c r="A387">
        <v>12.75197958</v>
      </c>
    </row>
    <row r="388" spans="1:1" x14ac:dyDescent="0.35">
      <c r="A388">
        <v>12.78867623</v>
      </c>
    </row>
    <row r="389" spans="1:1" x14ac:dyDescent="0.35">
      <c r="A389">
        <v>12.82184868</v>
      </c>
    </row>
    <row r="390" spans="1:1" x14ac:dyDescent="0.35">
      <c r="A390">
        <v>12.86828852</v>
      </c>
    </row>
    <row r="391" spans="1:1" x14ac:dyDescent="0.35">
      <c r="A391">
        <v>12.91504679</v>
      </c>
    </row>
    <row r="392" spans="1:1" x14ac:dyDescent="0.35">
      <c r="A392">
        <v>12.94747115</v>
      </c>
    </row>
    <row r="393" spans="1:1" x14ac:dyDescent="0.35">
      <c r="A393">
        <v>12.9809219</v>
      </c>
    </row>
    <row r="394" spans="1:1" x14ac:dyDescent="0.35">
      <c r="A394">
        <v>13.014325100000001</v>
      </c>
    </row>
    <row r="395" spans="1:1" x14ac:dyDescent="0.35">
      <c r="A395">
        <v>13.060094530000001</v>
      </c>
    </row>
    <row r="396" spans="1:1" x14ac:dyDescent="0.35">
      <c r="A396">
        <v>13.089083779999999</v>
      </c>
    </row>
    <row r="397" spans="1:1" x14ac:dyDescent="0.35">
      <c r="A397">
        <v>13.10764328</v>
      </c>
    </row>
    <row r="398" spans="1:1" x14ac:dyDescent="0.35">
      <c r="A398">
        <v>13.138666669999999</v>
      </c>
    </row>
    <row r="399" spans="1:1" x14ac:dyDescent="0.35">
      <c r="A399">
        <v>13.17176682</v>
      </c>
    </row>
    <row r="400" spans="1:1" x14ac:dyDescent="0.35">
      <c r="A400">
        <v>13.21572737</v>
      </c>
    </row>
    <row r="401" spans="1:1" x14ac:dyDescent="0.35">
      <c r="A401">
        <v>13.250366639999999</v>
      </c>
    </row>
    <row r="402" spans="1:1" x14ac:dyDescent="0.35">
      <c r="A402">
        <v>13.28513452</v>
      </c>
    </row>
    <row r="403" spans="1:1" x14ac:dyDescent="0.35">
      <c r="A403">
        <v>13.323181379999999</v>
      </c>
    </row>
    <row r="404" spans="1:1" x14ac:dyDescent="0.35">
      <c r="A404">
        <v>13.360042979999999</v>
      </c>
    </row>
    <row r="405" spans="1:1" x14ac:dyDescent="0.35">
      <c r="A405">
        <v>13.398164850000001</v>
      </c>
    </row>
    <row r="406" spans="1:1" x14ac:dyDescent="0.35">
      <c r="A406">
        <v>13.424690979999999</v>
      </c>
    </row>
    <row r="407" spans="1:1" x14ac:dyDescent="0.35">
      <c r="A407">
        <v>13.464915299999999</v>
      </c>
    </row>
    <row r="408" spans="1:1" x14ac:dyDescent="0.35">
      <c r="A408">
        <v>13.499588210000001</v>
      </c>
    </row>
    <row r="409" spans="1:1" x14ac:dyDescent="0.35">
      <c r="A409">
        <v>13.53708649</v>
      </c>
    </row>
    <row r="410" spans="1:1" x14ac:dyDescent="0.35">
      <c r="A410">
        <v>13.58122717</v>
      </c>
    </row>
    <row r="411" spans="1:1" x14ac:dyDescent="0.35">
      <c r="A411">
        <v>13.61533438</v>
      </c>
    </row>
    <row r="412" spans="1:1" x14ac:dyDescent="0.35">
      <c r="A412">
        <v>13.64912084</v>
      </c>
    </row>
    <row r="413" spans="1:1" x14ac:dyDescent="0.35">
      <c r="A413">
        <v>13.67876315</v>
      </c>
    </row>
    <row r="414" spans="1:1" x14ac:dyDescent="0.35">
      <c r="A414">
        <v>13.710379550000001</v>
      </c>
    </row>
    <row r="415" spans="1:1" x14ac:dyDescent="0.35">
      <c r="A415">
        <v>13.75519171</v>
      </c>
    </row>
    <row r="416" spans="1:1" x14ac:dyDescent="0.35">
      <c r="A416">
        <v>13.78618387</v>
      </c>
    </row>
    <row r="417" spans="1:1" x14ac:dyDescent="0.35">
      <c r="A417">
        <v>13.81872035</v>
      </c>
    </row>
    <row r="418" spans="1:1" x14ac:dyDescent="0.35">
      <c r="A418">
        <v>13.861997219999999</v>
      </c>
    </row>
    <row r="419" spans="1:1" x14ac:dyDescent="0.35">
      <c r="A419">
        <v>13.883077800000001</v>
      </c>
    </row>
    <row r="420" spans="1:1" x14ac:dyDescent="0.35">
      <c r="A420">
        <v>13.913356220000001</v>
      </c>
    </row>
    <row r="421" spans="1:1" x14ac:dyDescent="0.35">
      <c r="A421">
        <v>13.93528601</v>
      </c>
    </row>
    <row r="422" spans="1:1" x14ac:dyDescent="0.35">
      <c r="A422">
        <v>13.96736231</v>
      </c>
    </row>
    <row r="423" spans="1:1" x14ac:dyDescent="0.35">
      <c r="A423">
        <v>13.991093899999999</v>
      </c>
    </row>
    <row r="424" spans="1:1" x14ac:dyDescent="0.35">
      <c r="A424">
        <v>14.01174481</v>
      </c>
    </row>
    <row r="425" spans="1:1" x14ac:dyDescent="0.35">
      <c r="A425">
        <v>14.042954440000001</v>
      </c>
    </row>
    <row r="426" spans="1:1" x14ac:dyDescent="0.35">
      <c r="A426">
        <v>14.08377334</v>
      </c>
    </row>
    <row r="427" spans="1:1" x14ac:dyDescent="0.35">
      <c r="A427">
        <v>14.12840725</v>
      </c>
    </row>
    <row r="428" spans="1:1" x14ac:dyDescent="0.35">
      <c r="A428">
        <v>14.155850089999999</v>
      </c>
    </row>
    <row r="429" spans="1:1" x14ac:dyDescent="0.35">
      <c r="A429">
        <v>14.193330059999999</v>
      </c>
    </row>
    <row r="430" spans="1:1" x14ac:dyDescent="0.35">
      <c r="A430">
        <v>14.22844866</v>
      </c>
    </row>
    <row r="431" spans="1:1" x14ac:dyDescent="0.35">
      <c r="A431">
        <v>14.26321708</v>
      </c>
    </row>
    <row r="432" spans="1:1" x14ac:dyDescent="0.35">
      <c r="A432">
        <v>14.28625414</v>
      </c>
    </row>
    <row r="433" spans="1:1" x14ac:dyDescent="0.35">
      <c r="A433">
        <v>14.310693479999999</v>
      </c>
    </row>
    <row r="434" spans="1:1" x14ac:dyDescent="0.35">
      <c r="A434">
        <v>14.330487140000001</v>
      </c>
    </row>
    <row r="435" spans="1:1" x14ac:dyDescent="0.35">
      <c r="A435">
        <v>14.37871303</v>
      </c>
    </row>
    <row r="436" spans="1:1" x14ac:dyDescent="0.35">
      <c r="A436">
        <v>14.41826968</v>
      </c>
    </row>
    <row r="437" spans="1:1" x14ac:dyDescent="0.35">
      <c r="A437">
        <v>14.43817501</v>
      </c>
    </row>
    <row r="438" spans="1:1" x14ac:dyDescent="0.35">
      <c r="A438">
        <v>14.46228681</v>
      </c>
    </row>
    <row r="439" spans="1:1" x14ac:dyDescent="0.35">
      <c r="A439">
        <v>14.48871535</v>
      </c>
    </row>
    <row r="440" spans="1:1" x14ac:dyDescent="0.35">
      <c r="A440">
        <v>14.51594674</v>
      </c>
    </row>
    <row r="441" spans="1:1" x14ac:dyDescent="0.35">
      <c r="A441">
        <v>14.55760693</v>
      </c>
    </row>
    <row r="442" spans="1:1" x14ac:dyDescent="0.35">
      <c r="A442">
        <v>14.577627809999999</v>
      </c>
    </row>
    <row r="443" spans="1:1" x14ac:dyDescent="0.35">
      <c r="A443">
        <v>14.610868809999999</v>
      </c>
    </row>
    <row r="444" spans="1:1" x14ac:dyDescent="0.35">
      <c r="A444">
        <v>14.65052736</v>
      </c>
    </row>
    <row r="445" spans="1:1" x14ac:dyDescent="0.35">
      <c r="A445">
        <v>14.685476449999999</v>
      </c>
    </row>
    <row r="446" spans="1:1" x14ac:dyDescent="0.35">
      <c r="A446">
        <v>14.722354899999999</v>
      </c>
    </row>
    <row r="447" spans="1:1" x14ac:dyDescent="0.35">
      <c r="A447">
        <v>14.754316019999999</v>
      </c>
    </row>
    <row r="448" spans="1:1" x14ac:dyDescent="0.35">
      <c r="A448">
        <v>14.783561110000001</v>
      </c>
    </row>
    <row r="449" spans="1:1" x14ac:dyDescent="0.35">
      <c r="A449">
        <v>14.814950919999999</v>
      </c>
    </row>
    <row r="450" spans="1:1" x14ac:dyDescent="0.35">
      <c r="A450">
        <v>14.85728338</v>
      </c>
    </row>
    <row r="451" spans="1:1" x14ac:dyDescent="0.35">
      <c r="A451">
        <v>14.878717079999999</v>
      </c>
    </row>
    <row r="452" spans="1:1" x14ac:dyDescent="0.35">
      <c r="A452">
        <v>14.91524845</v>
      </c>
    </row>
    <row r="453" spans="1:1" x14ac:dyDescent="0.35">
      <c r="A453">
        <v>14.956723780000001</v>
      </c>
    </row>
    <row r="454" spans="1:1" x14ac:dyDescent="0.35">
      <c r="A454">
        <v>14.99151361</v>
      </c>
    </row>
    <row r="455" spans="1:1" x14ac:dyDescent="0.35">
      <c r="A455">
        <v>15.03214796</v>
      </c>
    </row>
    <row r="456" spans="1:1" x14ac:dyDescent="0.35">
      <c r="A456">
        <v>15.0616114</v>
      </c>
    </row>
    <row r="457" spans="1:1" x14ac:dyDescent="0.35">
      <c r="A457">
        <v>15.106274539999999</v>
      </c>
    </row>
    <row r="458" spans="1:1" x14ac:dyDescent="0.35">
      <c r="A458">
        <v>15.144129939999999</v>
      </c>
    </row>
    <row r="459" spans="1:1" x14ac:dyDescent="0.35">
      <c r="A459">
        <v>15.168018529999999</v>
      </c>
    </row>
    <row r="460" spans="1:1" x14ac:dyDescent="0.35">
      <c r="A460">
        <v>15.2009399</v>
      </c>
    </row>
    <row r="461" spans="1:1" x14ac:dyDescent="0.35">
      <c r="A461">
        <v>15.24724694</v>
      </c>
    </row>
    <row r="462" spans="1:1" x14ac:dyDescent="0.35">
      <c r="A462">
        <v>15.283574979999999</v>
      </c>
    </row>
    <row r="463" spans="1:1" x14ac:dyDescent="0.35">
      <c r="A463">
        <v>15.31335861</v>
      </c>
    </row>
    <row r="464" spans="1:1" x14ac:dyDescent="0.35">
      <c r="A464">
        <v>15.36082695</v>
      </c>
    </row>
    <row r="465" spans="1:1" x14ac:dyDescent="0.35">
      <c r="A465">
        <v>15.39217</v>
      </c>
    </row>
    <row r="466" spans="1:1" x14ac:dyDescent="0.35">
      <c r="A466">
        <v>15.42245696</v>
      </c>
    </row>
    <row r="467" spans="1:1" x14ac:dyDescent="0.35">
      <c r="A467">
        <v>15.451432860000001</v>
      </c>
    </row>
    <row r="468" spans="1:1" x14ac:dyDescent="0.35">
      <c r="A468">
        <v>15.48328502</v>
      </c>
    </row>
    <row r="469" spans="1:1" x14ac:dyDescent="0.35">
      <c r="A469">
        <v>15.514259210000001</v>
      </c>
    </row>
    <row r="470" spans="1:1" x14ac:dyDescent="0.35">
      <c r="A470">
        <v>15.55498264</v>
      </c>
    </row>
    <row r="471" spans="1:1" x14ac:dyDescent="0.35">
      <c r="A471">
        <v>15.574044369999999</v>
      </c>
    </row>
    <row r="472" spans="1:1" x14ac:dyDescent="0.35">
      <c r="A472">
        <v>15.613431609999999</v>
      </c>
    </row>
    <row r="473" spans="1:1" x14ac:dyDescent="0.35">
      <c r="A473">
        <v>15.64233484</v>
      </c>
    </row>
    <row r="474" spans="1:1" x14ac:dyDescent="0.35">
      <c r="A474">
        <v>15.666406329999999</v>
      </c>
    </row>
    <row r="475" spans="1:1" x14ac:dyDescent="0.35">
      <c r="A475">
        <v>15.69834672</v>
      </c>
    </row>
    <row r="476" spans="1:1" x14ac:dyDescent="0.35">
      <c r="A476">
        <v>15.72161311</v>
      </c>
    </row>
    <row r="477" spans="1:1" x14ac:dyDescent="0.35">
      <c r="A477">
        <v>15.75142295</v>
      </c>
    </row>
    <row r="478" spans="1:1" x14ac:dyDescent="0.35">
      <c r="A478">
        <v>15.771408060000001</v>
      </c>
    </row>
    <row r="479" spans="1:1" x14ac:dyDescent="0.35">
      <c r="A479">
        <v>15.81107811</v>
      </c>
    </row>
    <row r="480" spans="1:1" x14ac:dyDescent="0.35">
      <c r="A480">
        <v>15.84577387</v>
      </c>
    </row>
    <row r="481" spans="1:1" x14ac:dyDescent="0.35">
      <c r="A481">
        <v>15.882327200000001</v>
      </c>
    </row>
    <row r="482" spans="1:1" x14ac:dyDescent="0.35">
      <c r="A482">
        <v>15.907924919999999</v>
      </c>
    </row>
    <row r="483" spans="1:1" x14ac:dyDescent="0.35">
      <c r="A483">
        <v>15.941954470000001</v>
      </c>
    </row>
    <row r="484" spans="1:1" x14ac:dyDescent="0.35">
      <c r="A484">
        <v>15.984821419999999</v>
      </c>
    </row>
    <row r="485" spans="1:1" x14ac:dyDescent="0.35">
      <c r="A485">
        <v>16.026806929999999</v>
      </c>
    </row>
    <row r="486" spans="1:1" x14ac:dyDescent="0.35">
      <c r="A486">
        <v>16.061787030000001</v>
      </c>
    </row>
    <row r="487" spans="1:1" x14ac:dyDescent="0.35">
      <c r="A487">
        <v>16.102930239999999</v>
      </c>
    </row>
    <row r="488" spans="1:1" x14ac:dyDescent="0.35">
      <c r="A488">
        <v>16.133654830000001</v>
      </c>
    </row>
    <row r="489" spans="1:1" x14ac:dyDescent="0.35">
      <c r="A489">
        <v>16.156032969999998</v>
      </c>
    </row>
    <row r="490" spans="1:1" x14ac:dyDescent="0.35">
      <c r="A490">
        <v>16.19179359</v>
      </c>
    </row>
    <row r="491" spans="1:1" x14ac:dyDescent="0.35">
      <c r="A491">
        <v>16.230110660000001</v>
      </c>
    </row>
    <row r="492" spans="1:1" x14ac:dyDescent="0.35">
      <c r="A492">
        <v>16.259128329999999</v>
      </c>
    </row>
    <row r="493" spans="1:1" x14ac:dyDescent="0.35">
      <c r="A493">
        <v>16.29957924</v>
      </c>
    </row>
    <row r="494" spans="1:1" x14ac:dyDescent="0.35">
      <c r="A494">
        <v>16.3346397</v>
      </c>
    </row>
    <row r="495" spans="1:1" x14ac:dyDescent="0.35">
      <c r="A495">
        <v>16.369478569999998</v>
      </c>
    </row>
    <row r="496" spans="1:1" x14ac:dyDescent="0.35">
      <c r="A496">
        <v>16.412107389999999</v>
      </c>
    </row>
    <row r="497" spans="1:1" x14ac:dyDescent="0.35">
      <c r="A497">
        <v>16.44210361</v>
      </c>
    </row>
    <row r="498" spans="1:1" x14ac:dyDescent="0.35">
      <c r="A498">
        <v>16.485922309999999</v>
      </c>
    </row>
    <row r="499" spans="1:1" x14ac:dyDescent="0.35">
      <c r="A499">
        <v>16.528945749999998</v>
      </c>
    </row>
    <row r="500" spans="1:1" x14ac:dyDescent="0.35">
      <c r="A500">
        <v>16.564907779999999</v>
      </c>
    </row>
    <row r="501" spans="1:1" x14ac:dyDescent="0.35">
      <c r="A501">
        <v>16.58633137</v>
      </c>
    </row>
    <row r="502" spans="1:1" x14ac:dyDescent="0.35">
      <c r="A502">
        <v>16.607366169999999</v>
      </c>
    </row>
    <row r="503" spans="1:1" x14ac:dyDescent="0.35">
      <c r="A503">
        <v>16.644651750000001</v>
      </c>
    </row>
    <row r="504" spans="1:1" x14ac:dyDescent="0.35">
      <c r="A504">
        <v>16.665810830000002</v>
      </c>
    </row>
    <row r="505" spans="1:1" x14ac:dyDescent="0.35">
      <c r="A505">
        <v>16.692339430000001</v>
      </c>
    </row>
    <row r="506" spans="1:1" x14ac:dyDescent="0.35">
      <c r="A506">
        <v>16.726008920000002</v>
      </c>
    </row>
    <row r="507" spans="1:1" x14ac:dyDescent="0.35">
      <c r="A507">
        <v>16.763914060000001</v>
      </c>
    </row>
    <row r="508" spans="1:1" x14ac:dyDescent="0.35">
      <c r="A508">
        <v>16.805935550000001</v>
      </c>
    </row>
    <row r="509" spans="1:1" x14ac:dyDescent="0.35">
      <c r="A509">
        <v>16.844564909999999</v>
      </c>
    </row>
    <row r="510" spans="1:1" x14ac:dyDescent="0.35">
      <c r="A510">
        <v>16.883127959999999</v>
      </c>
    </row>
    <row r="511" spans="1:1" x14ac:dyDescent="0.35">
      <c r="A511">
        <v>16.92022351</v>
      </c>
    </row>
    <row r="512" spans="1:1" x14ac:dyDescent="0.35">
      <c r="A512">
        <v>16.948199549999998</v>
      </c>
    </row>
    <row r="513" spans="1:1" x14ac:dyDescent="0.35">
      <c r="A513">
        <v>16.974838120000001</v>
      </c>
    </row>
    <row r="514" spans="1:1" x14ac:dyDescent="0.35">
      <c r="A514">
        <v>17.002655449999999</v>
      </c>
    </row>
    <row r="515" spans="1:1" x14ac:dyDescent="0.35">
      <c r="A515">
        <v>17.042871229999999</v>
      </c>
    </row>
    <row r="516" spans="1:1" x14ac:dyDescent="0.35">
      <c r="A516">
        <v>17.082766599999999</v>
      </c>
    </row>
    <row r="517" spans="1:1" x14ac:dyDescent="0.35">
      <c r="A517">
        <v>17.106693839999998</v>
      </c>
    </row>
    <row r="518" spans="1:1" x14ac:dyDescent="0.35">
      <c r="A518">
        <v>17.153839479999998</v>
      </c>
    </row>
    <row r="519" spans="1:1" x14ac:dyDescent="0.35">
      <c r="A519">
        <v>17.186528240000001</v>
      </c>
    </row>
    <row r="520" spans="1:1" x14ac:dyDescent="0.35">
      <c r="A520">
        <v>17.205722819999998</v>
      </c>
    </row>
    <row r="521" spans="1:1" x14ac:dyDescent="0.35">
      <c r="A521">
        <v>17.239583100000001</v>
      </c>
    </row>
    <row r="522" spans="1:1" x14ac:dyDescent="0.35">
      <c r="A522">
        <v>17.265129760000001</v>
      </c>
    </row>
    <row r="523" spans="1:1" x14ac:dyDescent="0.35">
      <c r="A523">
        <v>17.29808096</v>
      </c>
    </row>
    <row r="524" spans="1:1" x14ac:dyDescent="0.35">
      <c r="A524">
        <v>17.340911269999999</v>
      </c>
    </row>
    <row r="525" spans="1:1" x14ac:dyDescent="0.35">
      <c r="A525">
        <v>17.372255679999999</v>
      </c>
    </row>
    <row r="526" spans="1:1" x14ac:dyDescent="0.35">
      <c r="A526">
        <v>17.403611250000001</v>
      </c>
    </row>
    <row r="527" spans="1:1" x14ac:dyDescent="0.35">
      <c r="A527">
        <v>17.431484650000002</v>
      </c>
    </row>
    <row r="528" spans="1:1" x14ac:dyDescent="0.35">
      <c r="A528">
        <v>17.45516452</v>
      </c>
    </row>
    <row r="529" spans="1:1" x14ac:dyDescent="0.35">
      <c r="A529">
        <v>17.485671549999999</v>
      </c>
    </row>
    <row r="530" spans="1:1" x14ac:dyDescent="0.35">
      <c r="A530">
        <v>17.516625959999999</v>
      </c>
    </row>
    <row r="531" spans="1:1" x14ac:dyDescent="0.35">
      <c r="A531">
        <v>17.544005389999999</v>
      </c>
    </row>
    <row r="532" spans="1:1" x14ac:dyDescent="0.35">
      <c r="A532">
        <v>17.589966919999998</v>
      </c>
    </row>
    <row r="533" spans="1:1" x14ac:dyDescent="0.35">
      <c r="A533">
        <v>17.618951169999999</v>
      </c>
    </row>
    <row r="534" spans="1:1" x14ac:dyDescent="0.35">
      <c r="A534">
        <v>17.6449766</v>
      </c>
    </row>
    <row r="535" spans="1:1" x14ac:dyDescent="0.35">
      <c r="A535">
        <v>17.677255890000001</v>
      </c>
    </row>
    <row r="536" spans="1:1" x14ac:dyDescent="0.35">
      <c r="A536">
        <v>17.714537409999998</v>
      </c>
    </row>
    <row r="537" spans="1:1" x14ac:dyDescent="0.35">
      <c r="A537">
        <v>17.753567530000002</v>
      </c>
    </row>
    <row r="538" spans="1:1" x14ac:dyDescent="0.35">
      <c r="A538">
        <v>17.778632030000001</v>
      </c>
    </row>
    <row r="539" spans="1:1" x14ac:dyDescent="0.35">
      <c r="A539">
        <v>17.800700899999999</v>
      </c>
    </row>
    <row r="540" spans="1:1" x14ac:dyDescent="0.35">
      <c r="A540">
        <v>17.838574059999999</v>
      </c>
    </row>
    <row r="541" spans="1:1" x14ac:dyDescent="0.35">
      <c r="A541">
        <v>17.8854209</v>
      </c>
    </row>
    <row r="542" spans="1:1" x14ac:dyDescent="0.35">
      <c r="A542">
        <v>17.919295529999999</v>
      </c>
    </row>
    <row r="543" spans="1:1" x14ac:dyDescent="0.35">
      <c r="A543">
        <v>17.962433520000001</v>
      </c>
    </row>
    <row r="544" spans="1:1" x14ac:dyDescent="0.35">
      <c r="A544">
        <v>17.996967640000001</v>
      </c>
    </row>
    <row r="545" spans="1:1" x14ac:dyDescent="0.35">
      <c r="A545">
        <v>18.018881520000001</v>
      </c>
    </row>
    <row r="546" spans="1:1" x14ac:dyDescent="0.35">
      <c r="A546">
        <v>18.050566140000001</v>
      </c>
    </row>
    <row r="547" spans="1:1" x14ac:dyDescent="0.35">
      <c r="A547">
        <v>18.083825690000001</v>
      </c>
    </row>
    <row r="548" spans="1:1" x14ac:dyDescent="0.35">
      <c r="A548">
        <v>18.126380260000001</v>
      </c>
    </row>
    <row r="549" spans="1:1" x14ac:dyDescent="0.35">
      <c r="A549">
        <v>18.15782647</v>
      </c>
    </row>
    <row r="550" spans="1:1" x14ac:dyDescent="0.35">
      <c r="A550">
        <v>18.18064652</v>
      </c>
    </row>
    <row r="551" spans="1:1" x14ac:dyDescent="0.35">
      <c r="A551">
        <v>18.22617769</v>
      </c>
    </row>
    <row r="552" spans="1:1" x14ac:dyDescent="0.35">
      <c r="A552">
        <v>18.263168159999999</v>
      </c>
    </row>
    <row r="553" spans="1:1" x14ac:dyDescent="0.35">
      <c r="A553">
        <v>18.305398960000002</v>
      </c>
    </row>
    <row r="554" spans="1:1" x14ac:dyDescent="0.35">
      <c r="A554">
        <v>18.33242353</v>
      </c>
    </row>
    <row r="555" spans="1:1" x14ac:dyDescent="0.35">
      <c r="A555">
        <v>18.370157649999999</v>
      </c>
    </row>
    <row r="556" spans="1:1" x14ac:dyDescent="0.35">
      <c r="A556">
        <v>18.413792839999999</v>
      </c>
    </row>
    <row r="557" spans="1:1" x14ac:dyDescent="0.35">
      <c r="A557">
        <v>18.448171909999999</v>
      </c>
    </row>
    <row r="558" spans="1:1" x14ac:dyDescent="0.35">
      <c r="A558">
        <v>18.48823045</v>
      </c>
    </row>
    <row r="559" spans="1:1" x14ac:dyDescent="0.35">
      <c r="A559">
        <v>18.51622661</v>
      </c>
    </row>
    <row r="560" spans="1:1" x14ac:dyDescent="0.35">
      <c r="A560">
        <v>18.556504950000001</v>
      </c>
    </row>
    <row r="561" spans="1:1" x14ac:dyDescent="0.35">
      <c r="A561">
        <v>18.578458120000001</v>
      </c>
    </row>
    <row r="562" spans="1:1" x14ac:dyDescent="0.35">
      <c r="A562">
        <v>18.62366656</v>
      </c>
    </row>
    <row r="563" spans="1:1" x14ac:dyDescent="0.35">
      <c r="A563">
        <v>18.657559630000002</v>
      </c>
    </row>
    <row r="564" spans="1:1" x14ac:dyDescent="0.35">
      <c r="A564">
        <v>18.697969029999999</v>
      </c>
    </row>
    <row r="565" spans="1:1" x14ac:dyDescent="0.35">
      <c r="A565">
        <v>18.726132320000001</v>
      </c>
    </row>
    <row r="566" spans="1:1" x14ac:dyDescent="0.35">
      <c r="A566">
        <v>18.75466149</v>
      </c>
    </row>
    <row r="567" spans="1:1" x14ac:dyDescent="0.35">
      <c r="A567">
        <v>18.784940410000001</v>
      </c>
    </row>
    <row r="568" spans="1:1" x14ac:dyDescent="0.35">
      <c r="A568">
        <v>18.816637350000001</v>
      </c>
    </row>
    <row r="569" spans="1:1" x14ac:dyDescent="0.35">
      <c r="A569">
        <v>18.84572906</v>
      </c>
    </row>
    <row r="570" spans="1:1" x14ac:dyDescent="0.35">
      <c r="A570">
        <v>18.874617910000001</v>
      </c>
    </row>
    <row r="571" spans="1:1" x14ac:dyDescent="0.35">
      <c r="A571">
        <v>18.899903070000001</v>
      </c>
    </row>
    <row r="572" spans="1:1" x14ac:dyDescent="0.35">
      <c r="A572">
        <v>18.941528120000001</v>
      </c>
    </row>
    <row r="573" spans="1:1" x14ac:dyDescent="0.35">
      <c r="A573">
        <v>18.981943279999999</v>
      </c>
    </row>
    <row r="574" spans="1:1" x14ac:dyDescent="0.35">
      <c r="A574">
        <v>19.01503684</v>
      </c>
    </row>
    <row r="575" spans="1:1" x14ac:dyDescent="0.35">
      <c r="A575">
        <v>19.044303769999999</v>
      </c>
    </row>
    <row r="576" spans="1:1" x14ac:dyDescent="0.35">
      <c r="A576">
        <v>19.07867984</v>
      </c>
    </row>
    <row r="577" spans="1:1" x14ac:dyDescent="0.35">
      <c r="A577">
        <v>19.102289890000002</v>
      </c>
    </row>
    <row r="578" spans="1:1" x14ac:dyDescent="0.35">
      <c r="A578">
        <v>19.12809382</v>
      </c>
    </row>
    <row r="579" spans="1:1" x14ac:dyDescent="0.35">
      <c r="A579">
        <v>19.15423354</v>
      </c>
    </row>
    <row r="580" spans="1:1" x14ac:dyDescent="0.35">
      <c r="A580">
        <v>19.179847389999999</v>
      </c>
    </row>
    <row r="581" spans="1:1" x14ac:dyDescent="0.35">
      <c r="A581">
        <v>19.205186739999998</v>
      </c>
    </row>
    <row r="582" spans="1:1" x14ac:dyDescent="0.35">
      <c r="A582">
        <v>19.248124449999999</v>
      </c>
    </row>
    <row r="583" spans="1:1" x14ac:dyDescent="0.35">
      <c r="A583">
        <v>19.27163084</v>
      </c>
    </row>
    <row r="584" spans="1:1" x14ac:dyDescent="0.35">
      <c r="A584">
        <v>19.31198865</v>
      </c>
    </row>
    <row r="585" spans="1:1" x14ac:dyDescent="0.35">
      <c r="A585">
        <v>19.348368610000001</v>
      </c>
    </row>
    <row r="586" spans="1:1" x14ac:dyDescent="0.35">
      <c r="A586">
        <v>19.382340670000001</v>
      </c>
    </row>
    <row r="587" spans="1:1" x14ac:dyDescent="0.35">
      <c r="A587">
        <v>19.421133099999999</v>
      </c>
    </row>
    <row r="588" spans="1:1" x14ac:dyDescent="0.35">
      <c r="A588">
        <v>19.444884309999999</v>
      </c>
    </row>
    <row r="589" spans="1:1" x14ac:dyDescent="0.35">
      <c r="A589">
        <v>19.479648409999999</v>
      </c>
    </row>
    <row r="590" spans="1:1" x14ac:dyDescent="0.35">
      <c r="A590">
        <v>19.516659130000001</v>
      </c>
    </row>
    <row r="591" spans="1:1" x14ac:dyDescent="0.35">
      <c r="A591">
        <v>19.5558978</v>
      </c>
    </row>
    <row r="592" spans="1:1" x14ac:dyDescent="0.35">
      <c r="A592">
        <v>19.580838180000001</v>
      </c>
    </row>
    <row r="593" spans="1:1" x14ac:dyDescent="0.35">
      <c r="A593">
        <v>19.617727469999998</v>
      </c>
    </row>
    <row r="594" spans="1:1" x14ac:dyDescent="0.35">
      <c r="A594">
        <v>19.647084270000001</v>
      </c>
    </row>
    <row r="595" spans="1:1" x14ac:dyDescent="0.35">
      <c r="A595">
        <v>19.679644199999998</v>
      </c>
    </row>
    <row r="596" spans="1:1" x14ac:dyDescent="0.35">
      <c r="A596">
        <v>19.723424250000001</v>
      </c>
    </row>
    <row r="597" spans="1:1" x14ac:dyDescent="0.35">
      <c r="A597">
        <v>19.75637205</v>
      </c>
    </row>
    <row r="598" spans="1:1" x14ac:dyDescent="0.35">
      <c r="A598">
        <v>19.78682568</v>
      </c>
    </row>
    <row r="599" spans="1:1" x14ac:dyDescent="0.35">
      <c r="A599">
        <v>19.81267179</v>
      </c>
    </row>
    <row r="600" spans="1:1" x14ac:dyDescent="0.35">
      <c r="A600">
        <v>19.851499440000001</v>
      </c>
    </row>
    <row r="601" spans="1:1" x14ac:dyDescent="0.35">
      <c r="A601">
        <v>19.877343759999999</v>
      </c>
    </row>
    <row r="602" spans="1:1" x14ac:dyDescent="0.35">
      <c r="A602">
        <v>19.918932259999998</v>
      </c>
    </row>
    <row r="603" spans="1:1" x14ac:dyDescent="0.35">
      <c r="A603">
        <v>19.95717659</v>
      </c>
    </row>
    <row r="604" spans="1:1" x14ac:dyDescent="0.35">
      <c r="A604">
        <v>19.98782435</v>
      </c>
    </row>
    <row r="605" spans="1:1" x14ac:dyDescent="0.35">
      <c r="A605">
        <v>20.021617970000001</v>
      </c>
    </row>
    <row r="606" spans="1:1" x14ac:dyDescent="0.35">
      <c r="A606">
        <v>20.05939162</v>
      </c>
    </row>
    <row r="607" spans="1:1" x14ac:dyDescent="0.35">
      <c r="A607">
        <v>20.091939369999999</v>
      </c>
    </row>
    <row r="608" spans="1:1" x14ac:dyDescent="0.35">
      <c r="A608">
        <v>20.115078990000001</v>
      </c>
    </row>
    <row r="609" spans="1:1" x14ac:dyDescent="0.35">
      <c r="A609">
        <v>20.147099709999999</v>
      </c>
    </row>
    <row r="610" spans="1:1" x14ac:dyDescent="0.35">
      <c r="A610">
        <v>20.177579690000002</v>
      </c>
    </row>
    <row r="611" spans="1:1" x14ac:dyDescent="0.35">
      <c r="A611">
        <v>20.202779979999999</v>
      </c>
    </row>
    <row r="612" spans="1:1" x14ac:dyDescent="0.35">
      <c r="A612">
        <v>20.229647</v>
      </c>
    </row>
    <row r="613" spans="1:1" x14ac:dyDescent="0.35">
      <c r="A613">
        <v>20.251433630000001</v>
      </c>
    </row>
    <row r="614" spans="1:1" x14ac:dyDescent="0.35">
      <c r="A614">
        <v>20.29321217</v>
      </c>
    </row>
    <row r="615" spans="1:1" x14ac:dyDescent="0.35">
      <c r="A615">
        <v>20.33589181</v>
      </c>
    </row>
    <row r="616" spans="1:1" x14ac:dyDescent="0.35">
      <c r="A616">
        <v>20.362353599999999</v>
      </c>
    </row>
    <row r="617" spans="1:1" x14ac:dyDescent="0.35">
      <c r="A617">
        <v>20.394118339999999</v>
      </c>
    </row>
    <row r="618" spans="1:1" x14ac:dyDescent="0.35">
      <c r="A618">
        <v>20.441369359999999</v>
      </c>
    </row>
    <row r="619" spans="1:1" x14ac:dyDescent="0.35">
      <c r="A619">
        <v>20.473432599999999</v>
      </c>
    </row>
    <row r="620" spans="1:1" x14ac:dyDescent="0.35">
      <c r="A620">
        <v>20.513129790000001</v>
      </c>
    </row>
    <row r="621" spans="1:1" x14ac:dyDescent="0.35">
      <c r="A621">
        <v>20.5497613</v>
      </c>
    </row>
    <row r="622" spans="1:1" x14ac:dyDescent="0.35">
      <c r="A622">
        <v>20.582020830000001</v>
      </c>
    </row>
    <row r="623" spans="1:1" x14ac:dyDescent="0.35">
      <c r="A623">
        <v>20.60576326</v>
      </c>
    </row>
    <row r="624" spans="1:1" x14ac:dyDescent="0.35">
      <c r="A624">
        <v>20.642126409999999</v>
      </c>
    </row>
    <row r="625" spans="1:1" x14ac:dyDescent="0.35">
      <c r="A625">
        <v>20.678599460000001</v>
      </c>
    </row>
    <row r="626" spans="1:1" x14ac:dyDescent="0.35">
      <c r="A626">
        <v>20.70788018</v>
      </c>
    </row>
    <row r="627" spans="1:1" x14ac:dyDescent="0.35">
      <c r="A627">
        <v>20.739242529999999</v>
      </c>
    </row>
    <row r="628" spans="1:1" x14ac:dyDescent="0.35">
      <c r="A628">
        <v>20.772142840000001</v>
      </c>
    </row>
    <row r="629" spans="1:1" x14ac:dyDescent="0.35">
      <c r="A629">
        <v>20.793221509999999</v>
      </c>
    </row>
    <row r="630" spans="1:1" x14ac:dyDescent="0.35">
      <c r="A630">
        <v>20.83857806</v>
      </c>
    </row>
    <row r="631" spans="1:1" x14ac:dyDescent="0.35">
      <c r="A631">
        <v>20.869925899999998</v>
      </c>
    </row>
    <row r="632" spans="1:1" x14ac:dyDescent="0.35">
      <c r="A632">
        <v>20.906904900000001</v>
      </c>
    </row>
    <row r="633" spans="1:1" x14ac:dyDescent="0.35">
      <c r="A633">
        <v>20.938907189999998</v>
      </c>
    </row>
    <row r="634" spans="1:1" x14ac:dyDescent="0.35">
      <c r="A634">
        <v>20.972600180000001</v>
      </c>
    </row>
    <row r="635" spans="1:1" x14ac:dyDescent="0.35">
      <c r="A635">
        <v>21.009648080000002</v>
      </c>
    </row>
    <row r="636" spans="1:1" x14ac:dyDescent="0.35">
      <c r="A636">
        <v>21.05070529</v>
      </c>
    </row>
    <row r="637" spans="1:1" x14ac:dyDescent="0.35">
      <c r="A637">
        <v>21.09470366</v>
      </c>
    </row>
    <row r="638" spans="1:1" x14ac:dyDescent="0.35">
      <c r="A638">
        <v>21.118999649999999</v>
      </c>
    </row>
    <row r="639" spans="1:1" x14ac:dyDescent="0.35">
      <c r="A639">
        <v>21.1415182</v>
      </c>
    </row>
    <row r="640" spans="1:1" x14ac:dyDescent="0.35">
      <c r="A640">
        <v>21.188580529999999</v>
      </c>
    </row>
    <row r="641" spans="1:1" x14ac:dyDescent="0.35">
      <c r="A641">
        <v>21.226420520000001</v>
      </c>
    </row>
    <row r="642" spans="1:1" x14ac:dyDescent="0.35">
      <c r="A642">
        <v>21.251260340000002</v>
      </c>
    </row>
    <row r="643" spans="1:1" x14ac:dyDescent="0.35">
      <c r="A643">
        <v>21.284680430000002</v>
      </c>
    </row>
    <row r="644" spans="1:1" x14ac:dyDescent="0.35">
      <c r="A644">
        <v>21.318753959999999</v>
      </c>
    </row>
    <row r="645" spans="1:1" x14ac:dyDescent="0.35">
      <c r="A645">
        <v>21.35794563</v>
      </c>
    </row>
    <row r="646" spans="1:1" x14ac:dyDescent="0.35">
      <c r="A646">
        <v>21.400908569999999</v>
      </c>
    </row>
    <row r="647" spans="1:1" x14ac:dyDescent="0.35">
      <c r="A647">
        <v>21.429216579999999</v>
      </c>
    </row>
    <row r="648" spans="1:1" x14ac:dyDescent="0.35">
      <c r="A648">
        <v>21.47566346</v>
      </c>
    </row>
    <row r="649" spans="1:1" x14ac:dyDescent="0.35">
      <c r="A649">
        <v>21.506801370000002</v>
      </c>
    </row>
    <row r="650" spans="1:1" x14ac:dyDescent="0.35">
      <c r="A650">
        <v>21.531016260000001</v>
      </c>
    </row>
    <row r="651" spans="1:1" x14ac:dyDescent="0.35">
      <c r="A651">
        <v>21.566107280000001</v>
      </c>
    </row>
    <row r="652" spans="1:1" x14ac:dyDescent="0.35">
      <c r="A652">
        <v>21.597039670000001</v>
      </c>
    </row>
    <row r="653" spans="1:1" x14ac:dyDescent="0.35">
      <c r="A653">
        <v>21.63827341</v>
      </c>
    </row>
    <row r="654" spans="1:1" x14ac:dyDescent="0.35">
      <c r="A654">
        <v>21.670277720000001</v>
      </c>
    </row>
    <row r="655" spans="1:1" x14ac:dyDescent="0.35">
      <c r="A655">
        <v>21.697386439999999</v>
      </c>
    </row>
    <row r="656" spans="1:1" x14ac:dyDescent="0.35">
      <c r="A656">
        <v>21.745396790000001</v>
      </c>
    </row>
    <row r="657" spans="1:1" x14ac:dyDescent="0.35">
      <c r="A657">
        <v>21.780798839999999</v>
      </c>
    </row>
    <row r="658" spans="1:1" x14ac:dyDescent="0.35">
      <c r="A658">
        <v>21.814277409999999</v>
      </c>
    </row>
    <row r="659" spans="1:1" x14ac:dyDescent="0.35">
      <c r="A659">
        <v>21.858397969999999</v>
      </c>
    </row>
    <row r="660" spans="1:1" x14ac:dyDescent="0.35">
      <c r="A660">
        <v>21.894470340000002</v>
      </c>
    </row>
    <row r="661" spans="1:1" x14ac:dyDescent="0.35">
      <c r="A661">
        <v>21.91460567</v>
      </c>
    </row>
    <row r="662" spans="1:1" x14ac:dyDescent="0.35">
      <c r="A662">
        <v>21.955837769999999</v>
      </c>
    </row>
    <row r="663" spans="1:1" x14ac:dyDescent="0.35">
      <c r="A663">
        <v>21.9885342</v>
      </c>
    </row>
    <row r="664" spans="1:1" x14ac:dyDescent="0.35">
      <c r="A664">
        <v>22.013824159999999</v>
      </c>
    </row>
    <row r="665" spans="1:1" x14ac:dyDescent="0.35">
      <c r="A665">
        <v>22.04720481</v>
      </c>
    </row>
    <row r="666" spans="1:1" x14ac:dyDescent="0.35">
      <c r="A666">
        <v>22.087228339999999</v>
      </c>
    </row>
    <row r="667" spans="1:1" x14ac:dyDescent="0.35">
      <c r="A667">
        <v>22.122876479999999</v>
      </c>
    </row>
    <row r="668" spans="1:1" x14ac:dyDescent="0.35">
      <c r="A668">
        <v>22.168386460000001</v>
      </c>
    </row>
    <row r="669" spans="1:1" x14ac:dyDescent="0.35">
      <c r="A669">
        <v>22.215493429999999</v>
      </c>
    </row>
    <row r="670" spans="1:1" x14ac:dyDescent="0.35">
      <c r="A670">
        <v>22.23834304</v>
      </c>
    </row>
    <row r="671" spans="1:1" x14ac:dyDescent="0.35">
      <c r="A671">
        <v>22.260858859999999</v>
      </c>
    </row>
    <row r="672" spans="1:1" x14ac:dyDescent="0.35">
      <c r="A672">
        <v>22.294852479999999</v>
      </c>
    </row>
    <row r="673" spans="1:1" x14ac:dyDescent="0.35">
      <c r="A673">
        <v>22.33197578</v>
      </c>
    </row>
    <row r="674" spans="1:1" x14ac:dyDescent="0.35">
      <c r="A674">
        <v>22.36931521</v>
      </c>
    </row>
    <row r="675" spans="1:1" x14ac:dyDescent="0.35">
      <c r="A675">
        <v>22.40499587</v>
      </c>
    </row>
    <row r="676" spans="1:1" x14ac:dyDescent="0.35">
      <c r="A676">
        <v>22.435040359999999</v>
      </c>
    </row>
    <row r="677" spans="1:1" x14ac:dyDescent="0.35">
      <c r="A677">
        <v>22.478387990000002</v>
      </c>
    </row>
    <row r="678" spans="1:1" x14ac:dyDescent="0.35">
      <c r="A678">
        <v>22.51836303</v>
      </c>
    </row>
    <row r="679" spans="1:1" x14ac:dyDescent="0.35">
      <c r="A679">
        <v>22.55247782</v>
      </c>
    </row>
    <row r="680" spans="1:1" x14ac:dyDescent="0.35">
      <c r="A680">
        <v>22.584290899999999</v>
      </c>
    </row>
    <row r="681" spans="1:1" x14ac:dyDescent="0.35">
      <c r="A681">
        <v>22.615246859999999</v>
      </c>
    </row>
    <row r="682" spans="1:1" x14ac:dyDescent="0.35">
      <c r="A682">
        <v>22.657047460000001</v>
      </c>
    </row>
    <row r="683" spans="1:1" x14ac:dyDescent="0.35">
      <c r="A683">
        <v>22.691367140000001</v>
      </c>
    </row>
    <row r="684" spans="1:1" x14ac:dyDescent="0.35">
      <c r="A684">
        <v>22.728155730000001</v>
      </c>
    </row>
    <row r="685" spans="1:1" x14ac:dyDescent="0.35">
      <c r="A685">
        <v>22.75922594</v>
      </c>
    </row>
    <row r="686" spans="1:1" x14ac:dyDescent="0.35">
      <c r="A686">
        <v>22.794613009999999</v>
      </c>
    </row>
    <row r="687" spans="1:1" x14ac:dyDescent="0.35">
      <c r="A687">
        <v>22.8166744</v>
      </c>
    </row>
    <row r="688" spans="1:1" x14ac:dyDescent="0.35">
      <c r="A688">
        <v>22.860434940000001</v>
      </c>
    </row>
    <row r="689" spans="1:1" x14ac:dyDescent="0.35">
      <c r="A689">
        <v>22.886680989999999</v>
      </c>
    </row>
    <row r="690" spans="1:1" x14ac:dyDescent="0.35">
      <c r="A690">
        <v>22.923207569999999</v>
      </c>
    </row>
    <row r="691" spans="1:1" x14ac:dyDescent="0.35">
      <c r="A691">
        <v>22.965275250000001</v>
      </c>
    </row>
    <row r="692" spans="1:1" x14ac:dyDescent="0.35">
      <c r="A692">
        <v>23.005979379999999</v>
      </c>
    </row>
    <row r="693" spans="1:1" x14ac:dyDescent="0.35">
      <c r="A693">
        <v>23.040246969999998</v>
      </c>
    </row>
    <row r="694" spans="1:1" x14ac:dyDescent="0.35">
      <c r="A694">
        <v>23.072700090000001</v>
      </c>
    </row>
    <row r="695" spans="1:1" x14ac:dyDescent="0.35">
      <c r="A695">
        <v>23.091686150000001</v>
      </c>
    </row>
    <row r="696" spans="1:1" x14ac:dyDescent="0.35">
      <c r="A696">
        <v>23.130098140000001</v>
      </c>
    </row>
    <row r="697" spans="1:1" x14ac:dyDescent="0.35">
      <c r="A697">
        <v>23.15397557</v>
      </c>
    </row>
    <row r="698" spans="1:1" x14ac:dyDescent="0.35">
      <c r="A698">
        <v>23.195990559999998</v>
      </c>
    </row>
    <row r="699" spans="1:1" x14ac:dyDescent="0.35">
      <c r="A699">
        <v>23.223619230000001</v>
      </c>
    </row>
    <row r="700" spans="1:1" x14ac:dyDescent="0.35">
      <c r="A700">
        <v>23.26353147</v>
      </c>
    </row>
    <row r="701" spans="1:1" x14ac:dyDescent="0.35">
      <c r="A701">
        <v>23.303694310000001</v>
      </c>
    </row>
    <row r="702" spans="1:1" x14ac:dyDescent="0.35">
      <c r="A702">
        <v>23.335353399999999</v>
      </c>
    </row>
    <row r="703" spans="1:1" x14ac:dyDescent="0.35">
      <c r="A703">
        <v>23.360250239999999</v>
      </c>
    </row>
    <row r="704" spans="1:1" x14ac:dyDescent="0.35">
      <c r="A704">
        <v>23.384815199999998</v>
      </c>
    </row>
    <row r="705" spans="1:1" x14ac:dyDescent="0.35">
      <c r="A705">
        <v>23.42722719</v>
      </c>
    </row>
    <row r="706" spans="1:1" x14ac:dyDescent="0.35">
      <c r="A706">
        <v>23.465193209999999</v>
      </c>
    </row>
    <row r="707" spans="1:1" x14ac:dyDescent="0.35">
      <c r="A707">
        <v>23.495509510000002</v>
      </c>
    </row>
    <row r="708" spans="1:1" x14ac:dyDescent="0.35">
      <c r="A708">
        <v>23.5315361</v>
      </c>
    </row>
    <row r="709" spans="1:1" x14ac:dyDescent="0.35">
      <c r="A709">
        <v>23.56589335</v>
      </c>
    </row>
    <row r="710" spans="1:1" x14ac:dyDescent="0.35">
      <c r="A710">
        <v>23.596252790000001</v>
      </c>
    </row>
    <row r="711" spans="1:1" x14ac:dyDescent="0.35">
      <c r="A711">
        <v>23.635149169999998</v>
      </c>
    </row>
    <row r="712" spans="1:1" x14ac:dyDescent="0.35">
      <c r="A712">
        <v>23.674961029999999</v>
      </c>
    </row>
    <row r="713" spans="1:1" x14ac:dyDescent="0.35">
      <c r="A713">
        <v>23.707460690000001</v>
      </c>
    </row>
    <row r="714" spans="1:1" x14ac:dyDescent="0.35">
      <c r="A714">
        <v>23.741896839999999</v>
      </c>
    </row>
    <row r="715" spans="1:1" x14ac:dyDescent="0.35">
      <c r="A715">
        <v>23.773675239999999</v>
      </c>
    </row>
    <row r="716" spans="1:1" x14ac:dyDescent="0.35">
      <c r="A716">
        <v>23.806887249999999</v>
      </c>
    </row>
    <row r="717" spans="1:1" x14ac:dyDescent="0.35">
      <c r="A717">
        <v>23.836000850000001</v>
      </c>
    </row>
    <row r="718" spans="1:1" x14ac:dyDescent="0.35">
      <c r="A718">
        <v>23.872891410000001</v>
      </c>
    </row>
    <row r="719" spans="1:1" x14ac:dyDescent="0.35">
      <c r="A719">
        <v>23.909390009999999</v>
      </c>
    </row>
    <row r="720" spans="1:1" x14ac:dyDescent="0.35">
      <c r="A720">
        <v>23.944656299999998</v>
      </c>
    </row>
    <row r="721" spans="1:1" x14ac:dyDescent="0.35">
      <c r="A721">
        <v>23.973343790000001</v>
      </c>
    </row>
  </sheetData>
  <sortState xmlns:xlrd2="http://schemas.microsoft.com/office/spreadsheetml/2017/richdata2" ref="A1:A721">
    <sortCondition ref="A1"/>
  </sortState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mportArrivalData">
                <anchor moveWithCells="1" sizeWithCells="1">
                  <from>
                    <xdr:col>10</xdr:col>
                    <xdr:colOff>19050</xdr:colOff>
                    <xdr:row>3</xdr:row>
                    <xdr:rowOff>114300</xdr:rowOff>
                  </from>
                  <to>
                    <xdr:col>12</xdr:col>
                    <xdr:colOff>450850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HistogramOfArrivalData">
                <anchor moveWithCells="1" sizeWithCells="1">
                  <from>
                    <xdr:col>10</xdr:col>
                    <xdr:colOff>50800</xdr:colOff>
                    <xdr:row>9</xdr:row>
                    <xdr:rowOff>88900</xdr:rowOff>
                  </from>
                  <to>
                    <xdr:col>12</xdr:col>
                    <xdr:colOff>469900</xdr:colOff>
                    <xdr:row>12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/>
  </sheetPr>
  <dimension ref="B5:D726"/>
  <sheetViews>
    <sheetView workbookViewId="0">
      <selection activeCell="D15" sqref="D15"/>
    </sheetView>
  </sheetViews>
  <sheetFormatPr defaultColWidth="9.1796875" defaultRowHeight="14.5" x14ac:dyDescent="0.35"/>
  <cols>
    <col min="1" max="1" width="9.1796875" style="1"/>
    <col min="2" max="2" width="11.81640625" style="22" customWidth="1"/>
    <col min="3" max="3" width="9.1796875" style="1"/>
    <col min="4" max="4" width="13.81640625" style="22" customWidth="1"/>
    <col min="5" max="16384" width="9.1796875" style="1"/>
  </cols>
  <sheetData>
    <row r="5" spans="2:4" ht="15" thickBot="1" x14ac:dyDescent="0.4">
      <c r="B5" s="23" t="s">
        <v>1</v>
      </c>
    </row>
    <row r="6" spans="2:4" ht="19" thickBot="1" x14ac:dyDescent="0.4">
      <c r="D6" s="31">
        <v>1.5244319147725918E-2</v>
      </c>
    </row>
    <row r="18" spans="3:3" ht="15.5" x14ac:dyDescent="0.35">
      <c r="C18" s="30"/>
    </row>
    <row r="721" spans="2:2" x14ac:dyDescent="0.35">
      <c r="B721" s="22">
        <v>1.69353283866727E-2</v>
      </c>
    </row>
    <row r="722" spans="2:2" x14ac:dyDescent="0.35">
      <c r="B722" s="22">
        <v>1.4006693070857799E-2</v>
      </c>
    </row>
    <row r="723" spans="2:2" x14ac:dyDescent="0.35">
      <c r="B723" s="22">
        <v>1.47432684885445E-2</v>
      </c>
    </row>
    <row r="724" spans="2:2" x14ac:dyDescent="0.35">
      <c r="B724" s="22">
        <v>1.6031821484471499E-2</v>
      </c>
    </row>
    <row r="725" spans="2:2" x14ac:dyDescent="0.35">
      <c r="B725" s="22">
        <v>1.3909159774065901E-2</v>
      </c>
    </row>
    <row r="726" spans="2:2" x14ac:dyDescent="0.35">
      <c r="B726" s="22">
        <v>1.5416685462568599E-2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erviceRate">
                <anchor moveWithCells="1" sizeWithCells="1">
                  <from>
                    <xdr:col>2</xdr:col>
                    <xdr:colOff>247650</xdr:colOff>
                    <xdr:row>1</xdr:row>
                    <xdr:rowOff>88900</xdr:rowOff>
                  </from>
                  <to>
                    <xdr:col>4</xdr:col>
                    <xdr:colOff>114300</xdr:colOff>
                    <xdr:row>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tton3_Click">
                <anchor moveWithCells="1" sizeWithCells="1">
                  <from>
                    <xdr:col>7</xdr:col>
                    <xdr:colOff>488950</xdr:colOff>
                    <xdr:row>1</xdr:row>
                    <xdr:rowOff>76200</xdr:rowOff>
                  </from>
                  <to>
                    <xdr:col>10</xdr:col>
                    <xdr:colOff>88900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ClearData2">
                <anchor moveWithCells="1" sizeWithCells="1">
                  <from>
                    <xdr:col>2</xdr:col>
                    <xdr:colOff>215900</xdr:colOff>
                    <xdr:row>8</xdr:row>
                    <xdr:rowOff>50800</xdr:rowOff>
                  </from>
                  <to>
                    <xdr:col>4</xdr:col>
                    <xdr:colOff>50800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mportServiceTimeData">
                <anchor moveWithCells="1" sizeWithCells="1">
                  <from>
                    <xdr:col>11</xdr:col>
                    <xdr:colOff>209550</xdr:colOff>
                    <xdr:row>2</xdr:row>
                    <xdr:rowOff>50800</xdr:rowOff>
                  </from>
                  <to>
                    <xdr:col>13</xdr:col>
                    <xdr:colOff>419100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HistogramOfServiceTimeData">
                <anchor moveWithCells="1" sizeWithCells="1">
                  <from>
                    <xdr:col>11</xdr:col>
                    <xdr:colOff>190500</xdr:colOff>
                    <xdr:row>7</xdr:row>
                    <xdr:rowOff>88900</xdr:rowOff>
                  </from>
                  <to>
                    <xdr:col>13</xdr:col>
                    <xdr:colOff>469900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0"/>
  </sheetPr>
  <dimension ref="D5:M17"/>
  <sheetViews>
    <sheetView showGridLines="0" workbookViewId="0">
      <selection activeCell="I14" sqref="I14"/>
    </sheetView>
  </sheetViews>
  <sheetFormatPr defaultColWidth="9.1796875" defaultRowHeight="14.5" x14ac:dyDescent="0.35"/>
  <cols>
    <col min="1" max="6" width="9.1796875" style="1"/>
    <col min="7" max="7" width="19.1796875" style="22" bestFit="1" customWidth="1"/>
    <col min="8" max="8" width="14.1796875" style="22" bestFit="1" customWidth="1"/>
    <col min="9" max="9" width="8.7265625" style="22" customWidth="1"/>
    <col min="10" max="16384" width="9.1796875" style="1"/>
  </cols>
  <sheetData>
    <row r="5" spans="4:13" x14ac:dyDescent="0.35">
      <c r="D5" s="2"/>
      <c r="E5" s="3"/>
      <c r="F5" s="3"/>
      <c r="G5" s="4"/>
      <c r="H5" s="4"/>
      <c r="I5" s="4"/>
      <c r="J5" s="3"/>
      <c r="K5" s="3"/>
      <c r="L5" s="3"/>
      <c r="M5" s="5"/>
    </row>
    <row r="6" spans="4:13" x14ac:dyDescent="0.35">
      <c r="D6" s="6"/>
      <c r="E6"/>
      <c r="F6"/>
      <c r="G6" s="7"/>
      <c r="H6" s="7"/>
      <c r="I6" s="7"/>
      <c r="J6"/>
      <c r="K6"/>
      <c r="L6"/>
      <c r="M6" s="8"/>
    </row>
    <row r="7" spans="4:13" x14ac:dyDescent="0.35">
      <c r="D7" s="6"/>
      <c r="E7"/>
      <c r="F7"/>
      <c r="G7" s="7"/>
      <c r="H7" s="7"/>
      <c r="I7" s="7"/>
      <c r="J7"/>
      <c r="K7"/>
      <c r="L7"/>
      <c r="M7" s="8"/>
    </row>
    <row r="8" spans="4:13" x14ac:dyDescent="0.35">
      <c r="D8" s="6"/>
      <c r="E8"/>
      <c r="F8"/>
      <c r="G8" s="7"/>
      <c r="H8" s="7"/>
      <c r="I8" s="7"/>
      <c r="J8"/>
      <c r="K8"/>
      <c r="L8"/>
      <c r="M8" s="8"/>
    </row>
    <row r="9" spans="4:13" x14ac:dyDescent="0.35">
      <c r="D9" s="6"/>
      <c r="E9"/>
      <c r="F9"/>
      <c r="G9" s="7"/>
      <c r="H9" s="7"/>
      <c r="I9" s="7"/>
      <c r="J9"/>
      <c r="K9"/>
      <c r="L9"/>
      <c r="M9" s="8"/>
    </row>
    <row r="10" spans="4:13" ht="15.5" x14ac:dyDescent="0.35">
      <c r="D10" s="6"/>
      <c r="E10"/>
      <c r="F10"/>
      <c r="G10" s="9" t="s">
        <v>0</v>
      </c>
      <c r="H10" s="10" t="s">
        <v>1</v>
      </c>
      <c r="I10" s="11" t="s">
        <v>6</v>
      </c>
      <c r="J10"/>
      <c r="K10"/>
      <c r="L10"/>
      <c r="M10" s="8"/>
    </row>
    <row r="11" spans="4:13" x14ac:dyDescent="0.35">
      <c r="D11" s="6"/>
      <c r="E11"/>
      <c r="F11"/>
      <c r="G11" s="12" t="s">
        <v>5</v>
      </c>
      <c r="H11" s="13" t="s">
        <v>5</v>
      </c>
      <c r="I11" s="14" t="s">
        <v>29</v>
      </c>
      <c r="J11"/>
      <c r="K11"/>
      <c r="L11"/>
      <c r="M11" s="8"/>
    </row>
    <row r="12" spans="4:13" x14ac:dyDescent="0.35">
      <c r="D12" s="6"/>
      <c r="E12"/>
      <c r="F12"/>
      <c r="G12" s="15" t="s">
        <v>7</v>
      </c>
      <c r="H12" s="16" t="s">
        <v>5</v>
      </c>
      <c r="I12" s="17" t="s">
        <v>8</v>
      </c>
      <c r="J12"/>
      <c r="K12"/>
      <c r="L12"/>
      <c r="M12" s="8"/>
    </row>
    <row r="13" spans="4:13" x14ac:dyDescent="0.35">
      <c r="D13" s="6"/>
      <c r="E13"/>
      <c r="F13"/>
      <c r="G13" s="7"/>
      <c r="H13" s="7"/>
      <c r="I13" s="7"/>
      <c r="J13"/>
      <c r="K13"/>
      <c r="L13"/>
      <c r="M13" s="8"/>
    </row>
    <row r="14" spans="4:13" x14ac:dyDescent="0.35">
      <c r="D14" s="6"/>
      <c r="E14"/>
      <c r="F14"/>
      <c r="G14" s="7"/>
      <c r="H14" s="7"/>
      <c r="I14" s="7"/>
      <c r="J14"/>
      <c r="K14"/>
      <c r="L14"/>
      <c r="M14" s="8"/>
    </row>
    <row r="15" spans="4:13" x14ac:dyDescent="0.35">
      <c r="D15" s="6"/>
      <c r="E15"/>
      <c r="F15"/>
      <c r="G15" s="7"/>
      <c r="H15" s="7"/>
      <c r="I15" s="7"/>
      <c r="J15"/>
      <c r="K15"/>
      <c r="L15"/>
      <c r="M15" s="8"/>
    </row>
    <row r="16" spans="4:13" x14ac:dyDescent="0.35">
      <c r="D16" s="6"/>
      <c r="E16"/>
      <c r="F16"/>
      <c r="G16" s="7"/>
      <c r="H16" s="7"/>
      <c r="I16" s="7"/>
      <c r="J16"/>
      <c r="K16"/>
      <c r="L16"/>
      <c r="M16" s="8"/>
    </row>
    <row r="17" spans="4:13" x14ac:dyDescent="0.35">
      <c r="D17" s="18"/>
      <c r="E17" s="19"/>
      <c r="F17" s="19"/>
      <c r="G17" s="20"/>
      <c r="H17" s="20"/>
      <c r="I17" s="20"/>
      <c r="J17" s="19"/>
      <c r="K17" s="19"/>
      <c r="L17" s="19"/>
      <c r="M17" s="2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6</xdr:col>
                    <xdr:colOff>641350</xdr:colOff>
                    <xdr:row>5</xdr:row>
                    <xdr:rowOff>95250</xdr:rowOff>
                  </from>
                  <to>
                    <xdr:col>8</xdr:col>
                    <xdr:colOff>260350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0"/>
  </sheetPr>
  <dimension ref="D5:Q17"/>
  <sheetViews>
    <sheetView workbookViewId="0">
      <selection activeCell="I12" sqref="I12"/>
    </sheetView>
  </sheetViews>
  <sheetFormatPr defaultColWidth="9.1796875" defaultRowHeight="14.5" x14ac:dyDescent="0.35"/>
  <cols>
    <col min="1" max="5" width="9.1796875" style="34"/>
    <col min="6" max="6" width="9.26953125" style="37" bestFit="1" customWidth="1"/>
    <col min="7" max="9" width="9.26953125" style="37" customWidth="1"/>
    <col min="10" max="12" width="6.7265625" style="34" customWidth="1"/>
    <col min="13" max="14" width="9.1796875" style="34"/>
    <col min="15" max="15" width="11.7265625" style="34" bestFit="1" customWidth="1"/>
    <col min="16" max="16384" width="9.1796875" style="34"/>
  </cols>
  <sheetData>
    <row r="5" spans="4:17" x14ac:dyDescent="0.35">
      <c r="D5" s="39"/>
      <c r="E5" s="39"/>
      <c r="F5" s="40"/>
      <c r="G5" s="40"/>
      <c r="H5" s="40"/>
      <c r="I5" s="40"/>
      <c r="J5" s="39"/>
      <c r="K5" s="39"/>
      <c r="L5" s="39"/>
      <c r="M5" s="39"/>
      <c r="N5" s="39"/>
      <c r="O5" s="39"/>
      <c r="P5" s="39"/>
      <c r="Q5" s="39"/>
    </row>
    <row r="6" spans="4:17" ht="15.5" x14ac:dyDescent="0.35">
      <c r="D6" s="39"/>
      <c r="E6" s="35" t="s">
        <v>24</v>
      </c>
      <c r="F6" s="35"/>
      <c r="G6" s="41"/>
      <c r="H6" s="35" t="s">
        <v>27</v>
      </c>
      <c r="I6" s="35"/>
      <c r="J6" s="42"/>
      <c r="K6" s="42"/>
      <c r="L6" s="42"/>
      <c r="M6" s="39"/>
      <c r="N6" s="39"/>
      <c r="O6" s="42"/>
      <c r="P6" s="42"/>
      <c r="Q6" s="39"/>
    </row>
    <row r="7" spans="4:17" ht="14.5" customHeight="1" x14ac:dyDescent="0.35">
      <c r="D7" s="39"/>
      <c r="E7" s="36">
        <f>'Arrival Time'!H6</f>
        <v>0</v>
      </c>
      <c r="F7" s="36"/>
      <c r="G7" s="43"/>
      <c r="H7" s="36" t="e">
        <f>IF( O11=1,E11/E7)</f>
        <v>#DIV/0!</v>
      </c>
      <c r="I7" s="36"/>
      <c r="J7" s="44"/>
      <c r="K7" s="44"/>
      <c r="L7" s="44"/>
      <c r="M7" s="39"/>
      <c r="N7" s="39"/>
      <c r="O7" s="39"/>
      <c r="P7" s="39"/>
      <c r="Q7" s="39"/>
    </row>
    <row r="8" spans="4:17" ht="14.5" customHeight="1" x14ac:dyDescent="0.35">
      <c r="D8" s="39"/>
      <c r="E8" s="33"/>
      <c r="F8" s="33"/>
      <c r="G8" s="39"/>
      <c r="H8" s="39"/>
      <c r="I8" s="39"/>
      <c r="J8" s="44"/>
      <c r="K8" s="44"/>
      <c r="L8" s="44"/>
      <c r="M8" s="39"/>
      <c r="N8" s="39"/>
      <c r="O8" s="39"/>
      <c r="P8" s="39"/>
      <c r="Q8" s="39"/>
    </row>
    <row r="9" spans="4:17" x14ac:dyDescent="0.35">
      <c r="D9" s="39"/>
      <c r="E9" s="39"/>
      <c r="F9" s="40"/>
      <c r="G9" s="40"/>
      <c r="H9" s="40"/>
      <c r="I9" s="40"/>
      <c r="J9" s="39"/>
      <c r="K9" s="39"/>
      <c r="L9" s="39"/>
      <c r="M9" s="39"/>
      <c r="N9" s="39"/>
      <c r="O9" s="39"/>
      <c r="P9" s="39"/>
      <c r="Q9" s="39"/>
    </row>
    <row r="10" spans="4:17" ht="15.5" x14ac:dyDescent="0.35">
      <c r="D10" s="39"/>
      <c r="E10" s="35" t="s">
        <v>25</v>
      </c>
      <c r="F10" s="35"/>
      <c r="G10" s="41"/>
      <c r="H10" s="36" t="s">
        <v>28</v>
      </c>
      <c r="I10" s="36"/>
      <c r="J10" s="39"/>
      <c r="K10" s="39"/>
      <c r="L10" s="39"/>
      <c r="M10" s="39"/>
      <c r="N10" s="39"/>
      <c r="O10" s="35" t="s">
        <v>2</v>
      </c>
      <c r="P10" s="35"/>
      <c r="Q10" s="39"/>
    </row>
    <row r="11" spans="4:17" x14ac:dyDescent="0.35">
      <c r="D11" s="39"/>
      <c r="E11" s="38">
        <f>'Service Time'!D6</f>
        <v>1.5244319147725918E-2</v>
      </c>
      <c r="F11" s="38"/>
      <c r="G11" s="45"/>
      <c r="H11" s="38" t="e">
        <f>IF(E15="M/M/1",(H7^2)/(1-H7))</f>
        <v>#DIV/0!</v>
      </c>
      <c r="I11" s="38"/>
      <c r="J11" s="39"/>
      <c r="K11" s="39"/>
      <c r="L11" s="39"/>
      <c r="M11" s="39"/>
      <c r="N11" s="39"/>
      <c r="O11" s="36">
        <v>1</v>
      </c>
      <c r="P11" s="36"/>
      <c r="Q11" s="39"/>
    </row>
    <row r="12" spans="4:17" x14ac:dyDescent="0.35">
      <c r="D12" s="39"/>
      <c r="E12" s="39"/>
      <c r="F12" s="40"/>
      <c r="G12" s="40"/>
      <c r="H12" s="40"/>
      <c r="I12" s="40"/>
      <c r="J12" s="39"/>
      <c r="K12" s="39"/>
      <c r="L12" s="39"/>
      <c r="M12" s="39"/>
      <c r="N12" s="39"/>
      <c r="O12" s="46"/>
      <c r="P12" s="46"/>
      <c r="Q12" s="39"/>
    </row>
    <row r="13" spans="4:17" x14ac:dyDescent="0.35">
      <c r="D13" s="39"/>
      <c r="E13" s="39"/>
      <c r="F13" s="40"/>
      <c r="G13" s="40"/>
      <c r="H13" s="40"/>
      <c r="I13" s="40"/>
      <c r="J13" s="39"/>
      <c r="K13" s="39"/>
      <c r="L13" s="39"/>
      <c r="M13" s="39"/>
      <c r="N13" s="39"/>
      <c r="O13" s="39"/>
      <c r="P13" s="39"/>
      <c r="Q13" s="39"/>
    </row>
    <row r="14" spans="4:17" ht="15.5" x14ac:dyDescent="0.35">
      <c r="D14" s="39"/>
      <c r="E14" s="35" t="s">
        <v>26</v>
      </c>
      <c r="F14" s="35"/>
      <c r="G14" s="41"/>
      <c r="H14" s="41"/>
      <c r="I14" s="41"/>
      <c r="J14" s="39"/>
      <c r="K14" s="39"/>
      <c r="L14" s="39"/>
      <c r="M14" s="39"/>
      <c r="N14" s="39"/>
      <c r="O14" s="36" t="s">
        <v>3</v>
      </c>
      <c r="P14" s="36"/>
      <c r="Q14" s="39"/>
    </row>
    <row r="15" spans="4:17" x14ac:dyDescent="0.35">
      <c r="D15" s="39"/>
      <c r="E15" s="38" t="str">
        <f>'Type of System'!I11</f>
        <v>M/M/1</v>
      </c>
      <c r="F15" s="38"/>
      <c r="G15" s="45"/>
      <c r="H15" s="45"/>
      <c r="I15" s="45"/>
      <c r="J15" s="39"/>
      <c r="K15" s="39"/>
      <c r="L15" s="39"/>
      <c r="M15" s="39"/>
      <c r="N15" s="39"/>
      <c r="O15" s="38"/>
      <c r="P15" s="38"/>
      <c r="Q15" s="39"/>
    </row>
    <row r="16" spans="4:17" x14ac:dyDescent="0.35">
      <c r="D16" s="39"/>
      <c r="E16" s="39"/>
      <c r="F16" s="40"/>
      <c r="G16" s="40"/>
      <c r="H16" s="40"/>
      <c r="I16" s="40"/>
      <c r="J16" s="39"/>
      <c r="K16" s="39"/>
      <c r="L16" s="39"/>
      <c r="M16" s="39"/>
      <c r="N16" s="39"/>
      <c r="O16" s="39"/>
      <c r="P16" s="39"/>
      <c r="Q16" s="39"/>
    </row>
    <row r="17" spans="4:17" x14ac:dyDescent="0.35">
      <c r="D17" s="39"/>
      <c r="E17" s="39"/>
      <c r="F17" s="40"/>
      <c r="G17" s="40"/>
      <c r="H17" s="40"/>
      <c r="I17" s="40"/>
      <c r="J17" s="39"/>
      <c r="K17" s="39"/>
      <c r="L17" s="39"/>
      <c r="M17" s="39"/>
      <c r="N17" s="39"/>
      <c r="O17" s="39"/>
      <c r="P17" s="39"/>
      <c r="Q17" s="39"/>
    </row>
  </sheetData>
  <mergeCells count="14">
    <mergeCell ref="O14:P14"/>
    <mergeCell ref="O10:P10"/>
    <mergeCell ref="O11:P11"/>
    <mergeCell ref="O15:P15"/>
    <mergeCell ref="E6:F6"/>
    <mergeCell ref="E7:F7"/>
    <mergeCell ref="E10:F10"/>
    <mergeCell ref="E11:F11"/>
    <mergeCell ref="E14:F14"/>
    <mergeCell ref="E15:F15"/>
    <mergeCell ref="H6:I6"/>
    <mergeCell ref="H7:I7"/>
    <mergeCell ref="H10:I10"/>
    <mergeCell ref="H11:I11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croll Bar 1">
              <controlPr defaultSize="0" autoPict="0">
                <anchor moveWithCells="1">
                  <from>
                    <xdr:col>14</xdr:col>
                    <xdr:colOff>12700</xdr:colOff>
                    <xdr:row>5</xdr:row>
                    <xdr:rowOff>6350</xdr:rowOff>
                  </from>
                  <to>
                    <xdr:col>15</xdr:col>
                    <xdr:colOff>622300</xdr:colOff>
                    <xdr:row>7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9CD0-74CB-479C-B85C-1D7C2C61C2BF}">
  <sheetPr codeName="Sheet8"/>
  <dimension ref="A1:F11"/>
  <sheetViews>
    <sheetView workbookViewId="0"/>
  </sheetViews>
  <sheetFormatPr defaultRowHeight="14.5" x14ac:dyDescent="0.35"/>
  <cols>
    <col min="1" max="1" width="8" bestFit="1" customWidth="1"/>
  </cols>
  <sheetData>
    <row r="1" spans="1:6" x14ac:dyDescent="0.35">
      <c r="A1" t="s">
        <v>17</v>
      </c>
      <c r="B1" t="s">
        <v>18</v>
      </c>
      <c r="C1" t="s">
        <v>19</v>
      </c>
      <c r="E1" t="s">
        <v>20</v>
      </c>
      <c r="F1" s="32">
        <v>3.3296310824579747E-2</v>
      </c>
    </row>
    <row r="2" spans="1:6" x14ac:dyDescent="0.35">
      <c r="A2" t="s">
        <v>10</v>
      </c>
      <c r="B2">
        <v>2.36</v>
      </c>
      <c r="C2">
        <v>17</v>
      </c>
      <c r="E2" t="s">
        <v>21</v>
      </c>
      <c r="F2" s="32">
        <v>6.9731426732386782E-3</v>
      </c>
    </row>
    <row r="3" spans="1:6" x14ac:dyDescent="0.35">
      <c r="A3" t="s">
        <v>10</v>
      </c>
      <c r="B3">
        <v>7.5</v>
      </c>
      <c r="C3">
        <v>54</v>
      </c>
      <c r="E3" t="s">
        <v>22</v>
      </c>
      <c r="F3" s="32">
        <v>4.9719105857700896E-2</v>
      </c>
    </row>
    <row r="4" spans="1:6" x14ac:dyDescent="0.35">
      <c r="A4" t="s">
        <v>11</v>
      </c>
      <c r="B4">
        <v>12.22</v>
      </c>
      <c r="C4">
        <v>88</v>
      </c>
      <c r="E4" t="s">
        <v>23</v>
      </c>
      <c r="F4" s="32">
        <v>1.7399857699990307E-2</v>
      </c>
    </row>
    <row r="5" spans="1:6" x14ac:dyDescent="0.35">
      <c r="A5" t="s">
        <v>12</v>
      </c>
      <c r="B5">
        <v>11.94</v>
      </c>
      <c r="C5">
        <v>86</v>
      </c>
    </row>
    <row r="6" spans="1:6" x14ac:dyDescent="0.35">
      <c r="A6" t="s">
        <v>12</v>
      </c>
      <c r="B6">
        <v>17.36</v>
      </c>
      <c r="C6">
        <v>125</v>
      </c>
    </row>
    <row r="7" spans="1:6" x14ac:dyDescent="0.35">
      <c r="A7" t="s">
        <v>13</v>
      </c>
      <c r="B7">
        <v>16.670000000000002</v>
      </c>
      <c r="C7">
        <v>120</v>
      </c>
    </row>
    <row r="8" spans="1:6" x14ac:dyDescent="0.35">
      <c r="A8" t="s">
        <v>14</v>
      </c>
      <c r="B8">
        <v>13.47</v>
      </c>
      <c r="C8">
        <v>97</v>
      </c>
    </row>
    <row r="9" spans="1:6" x14ac:dyDescent="0.35">
      <c r="A9" t="s">
        <v>14</v>
      </c>
      <c r="B9">
        <v>9.58</v>
      </c>
      <c r="C9">
        <v>69</v>
      </c>
    </row>
    <row r="10" spans="1:6" x14ac:dyDescent="0.35">
      <c r="A10" t="s">
        <v>15</v>
      </c>
      <c r="B10">
        <v>6.11</v>
      </c>
      <c r="C10">
        <v>44</v>
      </c>
    </row>
    <row r="11" spans="1:6" x14ac:dyDescent="0.35">
      <c r="A11" t="s">
        <v>16</v>
      </c>
      <c r="B11">
        <v>2.78</v>
      </c>
      <c r="C11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 Menu</vt:lpstr>
      <vt:lpstr>Arrival Time</vt:lpstr>
      <vt:lpstr>CollectingArrivalData</vt:lpstr>
      <vt:lpstr>Service Time</vt:lpstr>
      <vt:lpstr>Collecting service time data</vt:lpstr>
      <vt:lpstr>Type of System</vt:lpstr>
      <vt:lpstr>Sensitivity Analysis</vt:lpstr>
      <vt:lpstr>Sheet1</vt:lpstr>
      <vt:lpstr>CollectingArrivalData!Sample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Shirzaei</dc:creator>
  <cp:lastModifiedBy>moham</cp:lastModifiedBy>
  <dcterms:created xsi:type="dcterms:W3CDTF">2019-04-04T21:08:35Z</dcterms:created>
  <dcterms:modified xsi:type="dcterms:W3CDTF">2019-04-07T02:40:22Z</dcterms:modified>
</cp:coreProperties>
</file>